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NL Kalmar 0" sheetId="1" r:id="rId5"/>
    <sheet state="visible" name="chi tiet xe" sheetId="2" r:id="rId6"/>
    <sheet state="visible" name="11202" sheetId="3" r:id="rId7"/>
    <sheet state="visible" name="22804" sheetId="4" r:id="rId8"/>
    <sheet state="visible" name="11394" sheetId="5" r:id="rId9"/>
    <sheet state="visible" name="thu tien dau" sheetId="6" r:id="rId10"/>
  </sheets>
  <definedNames/>
  <calcPr/>
</workbook>
</file>

<file path=xl/sharedStrings.xml><?xml version="1.0" encoding="utf-8"?>
<sst xmlns="http://schemas.openxmlformats.org/spreadsheetml/2006/main" count="346" uniqueCount="177">
  <si>
    <t>CÔNG TY CP LOGISTICS CẢNG ĐÀ NẴNG</t>
  </si>
  <si>
    <t>CỘNG HÒA XÃ HỘI CHỦ NGHĨA VIỆT NAM</t>
  </si>
  <si>
    <t>PHÒNG TCKT</t>
  </si>
  <si>
    <t>ĐỘC LẬP - TỰ DO - HẠNH PHÚC</t>
  </si>
  <si>
    <t>BẢNG TỔNG HỢP NHIÊN LIỆU THÁNG  8/2019</t>
  </si>
  <si>
    <t>Xe Kalmar 0 (làm tại DNL)</t>
  </si>
  <si>
    <t>Họ và tên lái xe: Nguyễn thế Vũ, Trần Công lý</t>
  </si>
  <si>
    <t>Biển kiểm soát:</t>
  </si>
  <si>
    <t>Stt</t>
  </si>
  <si>
    <t>Loại cont</t>
  </si>
  <si>
    <t>Sản lượng cont</t>
  </si>
  <si>
    <t>Định mức (lít/cont)</t>
  </si>
  <si>
    <t>Cộng (lít)</t>
  </si>
  <si>
    <t>Ghi chú</t>
  </si>
  <si>
    <t>Nhiên liệu tồn đầu tháng</t>
  </si>
  <si>
    <t>Ứng trong tháng</t>
  </si>
  <si>
    <t>Nhiên liệu Tiêu hao trong tháng</t>
  </si>
  <si>
    <t>a</t>
  </si>
  <si>
    <t>Hàng</t>
  </si>
  <si>
    <t>b</t>
  </si>
  <si>
    <t>Rỗng</t>
  </si>
  <si>
    <t>Tồn cuối tháng</t>
  </si>
  <si>
    <t xml:space="preserve">                                                                           </t>
  </si>
  <si>
    <t xml:space="preserve">                              Đà Nẵng, ngày 31/8/2019</t>
  </si>
  <si>
    <t xml:space="preserve">    Giám đốc</t>
  </si>
  <si>
    <t xml:space="preserve"> Đội cơ giới</t>
  </si>
  <si>
    <t>P.Kinh doanh</t>
  </si>
  <si>
    <t>Kế toán trưởng</t>
  </si>
  <si>
    <t>Người lập</t>
  </si>
  <si>
    <t xml:space="preserve">                                                                                    </t>
  </si>
  <si>
    <t>Lương Thị Thu Hồng</t>
  </si>
  <si>
    <t>CỘNG HOÀ XÃ HỘI CHỦ NGHĨA VIỆT NAM</t>
  </si>
  <si>
    <t>BẢNG KÊ CHI TIẾT XE ĐẦU KÉO VẬN CHUYỂN THÁNG 3/2023</t>
  </si>
  <si>
    <t>(ĐVT: chuyến )</t>
  </si>
  <si>
    <t>diễn giải</t>
  </si>
  <si>
    <t>định mức lít
/ chuyến</t>
  </si>
  <si>
    <t xml:space="preserve"> Thế Anh 
(43C 11394)</t>
  </si>
  <si>
    <t xml:space="preserve"> Xuân Huy 
(43C 22804)</t>
  </si>
  <si>
    <t>Hữu Ninh
 (43C 22738)</t>
  </si>
  <si>
    <t>Hà Khanh
 (43C 22838)</t>
  </si>
  <si>
    <t>Phước Tuân 
(43C 22818)</t>
  </si>
  <si>
    <t>Văn Phước (43C 22884)</t>
  </si>
  <si>
    <t>Viết Sáng
(43C19909)</t>
  </si>
  <si>
    <t>Hậu
(43C02852)</t>
  </si>
  <si>
    <t>Hồng Hiệp
(43C02842)</t>
  </si>
  <si>
    <t>Văn Tâm
(43C02837)</t>
  </si>
  <si>
    <t>Văn Bình
(02850)</t>
  </si>
  <si>
    <t>Đình Phi
(43C02789)</t>
  </si>
  <si>
    <t>Đức Tiên
(43C11202)</t>
  </si>
  <si>
    <t>Nguyễn Hân
(43C19991)</t>
  </si>
  <si>
    <t>Văn minh
(43C00859)</t>
  </si>
  <si>
    <t>Tấn Sơn
(43C01190)</t>
  </si>
  <si>
    <t>tổng</t>
  </si>
  <si>
    <t>tiêu hao nhiên liệu</t>
  </si>
  <si>
    <t>đơn giá dầu bình quân</t>
  </si>
  <si>
    <t>thành tiền
dầu</t>
  </si>
  <si>
    <t>đơn giá doanh thu/ chuyến</t>
  </si>
  <si>
    <t>thành tiền doanh thu</t>
  </si>
  <si>
    <t>ghi chú</t>
  </si>
  <si>
    <t>3=1x2</t>
  </si>
  <si>
    <t>5=1x4</t>
  </si>
  <si>
    <t>Cảng Tiên sa - Lao bảo 
( tinh bột sắn)</t>
  </si>
  <si>
    <t>Tiên sa - Phú bài huế</t>
  </si>
  <si>
    <t>Cảng Tiên sa - Lao bảo 
( 1 chiều)</t>
  </si>
  <si>
    <t>Cảng Tiên sa - Lao bảo 
( 2 chiều)</t>
  </si>
  <si>
    <t>Cảng Tiên Sa - KCN tăm thăng
 ( 1 chuyến/ngày)</t>
  </si>
  <si>
    <t>Cảng Tiên Sa - KCN tăm thăng
 ( 2 chuyến/ngày)</t>
  </si>
  <si>
    <t>Cảng Chu Lai - KCN tăm thăng
 ( 1 chuyến/ngày)</t>
  </si>
  <si>
    <t>Cảng Chu Lai - KCN tăm thăng
 ( 2 chuyến/ngày)</t>
  </si>
  <si>
    <t>Cảng Chu Lai - KCN tăm thăng
 ( 3 chuyến/ngày)</t>
  </si>
  <si>
    <t>dnl - kho công nghệ cao</t>
  </si>
  <si>
    <t>kho danalog - Tiên Sa
 ( hàng giấy xuất )</t>
  </si>
  <si>
    <t>1 cont 20 tấn</t>
  </si>
  <si>
    <t>kho danalog - Tiên Sa
 ( hàng tinh bột sẵn)</t>
  </si>
  <si>
    <t>phùng gia phát</t>
  </si>
  <si>
    <t xml:space="preserve"> Tiên sa - Danalog, ngươc lại 
( cont hàng)</t>
  </si>
  <si>
    <t>kho cfs</t>
  </si>
  <si>
    <t xml:space="preserve"> Tiên sa - Danalog 
( rỗng sang cont)</t>
  </si>
  <si>
    <t>lấy cont rỗng về 
sang cont giấy tròn</t>
  </si>
  <si>
    <t>Dnl 1,3,5 - Tiên Sa, ngược lại 
( cont rỗng )/ cont 40'</t>
  </si>
  <si>
    <t>trung chuyển</t>
  </si>
  <si>
    <t>tàu - danalog ( cont rỗng )</t>
  </si>
  <si>
    <t>Tàu - bãi cảng tiên sa</t>
  </si>
  <si>
    <t>thuê bao xe</t>
  </si>
  <si>
    <t xml:space="preserve">dnl đi trả rỗng các bãi </t>
  </si>
  <si>
    <t>sang cont hàng
 giấy tròn qing dao</t>
  </si>
  <si>
    <t>trung chuyển nội bộ</t>
  </si>
  <si>
    <t>Đi xe từ DNL - Chu Lai</t>
  </si>
  <si>
    <t>sửa xe, đăng kiểm</t>
  </si>
  <si>
    <t>Tháng 3/2023</t>
  </si>
  <si>
    <t>Họ và tên lái xe: Nguyễn Đức Tiên</t>
  </si>
  <si>
    <t>Biển kiểm soát: 43C 11202 ( nhận xe ngày 27/12/2022)</t>
  </si>
  <si>
    <t>Tuyến đường</t>
  </si>
  <si>
    <t>ĐVT</t>
  </si>
  <si>
    <t>S/L</t>
  </si>
  <si>
    <t>Định mức</t>
  </si>
  <si>
    <t>Tiêu hao</t>
  </si>
  <si>
    <t xml:space="preserve">Đơn giá </t>
  </si>
  <si>
    <t>Thành tiền</t>
  </si>
  <si>
    <t>chuyến</t>
  </si>
  <si>
    <t>hỗ trợ 15 lít/ 
chuyến đi cao tốc</t>
  </si>
  <si>
    <t xml:space="preserve"> chuyến</t>
  </si>
  <si>
    <t>2 chuyến</t>
  </si>
  <si>
    <t>2chuyến</t>
  </si>
  <si>
    <t>3 chuyến</t>
  </si>
  <si>
    <t>Số lượng tiêu hao</t>
  </si>
  <si>
    <t>Tồn đầu kỳ</t>
  </si>
  <si>
    <t>Ứng trong kỳ</t>
  </si>
  <si>
    <t xml:space="preserve">Tồn cuối kỳ </t>
  </si>
  <si>
    <t xml:space="preserve">                       Đà Nẵng, ngày  31 tháng 3 năm 2023</t>
  </si>
  <si>
    <t>Giám đốc</t>
  </si>
  <si>
    <t>kế toán trưởng</t>
  </si>
  <si>
    <t>phòng kd vận tải</t>
  </si>
  <si>
    <t>Lái xe</t>
  </si>
  <si>
    <t xml:space="preserve">           Người lập</t>
  </si>
  <si>
    <t>QT.15-BM02a-01/10/2017</t>
  </si>
  <si>
    <t>Họ và tên lái xe: Cao Xuân Huy</t>
  </si>
  <si>
    <t>Biển kiểm soát: 43C 22804 ( trả xe tháng 3/2023)</t>
  </si>
  <si>
    <t>Lưu đêm</t>
  </si>
  <si>
    <t>Chuyến</t>
  </si>
  <si>
    <t>2 Chuyến</t>
  </si>
  <si>
    <t xml:space="preserve"> 2 Chuyến</t>
  </si>
  <si>
    <t>3 Chuyến</t>
  </si>
  <si>
    <t>Dnl 1,3,5 - Tiên Sa ( cont rỗng )</t>
  </si>
  <si>
    <t xml:space="preserve">                              Đà Nẵng, ngày  31 tháng 3 năm 2023</t>
  </si>
  <si>
    <t>Họ và tên lái xe: Nguyễn Thế Anh</t>
  </si>
  <si>
    <t>Biển kiểm soát: 43C 11394</t>
  </si>
  <si>
    <t>phụ cấp xe đi sữa chữa</t>
  </si>
  <si>
    <t xml:space="preserve">BẢNG KÊ CHI TIẾT HAO HỤT NHIÊN LIỆU VƯỢT ĐỊNH MỨC </t>
  </si>
  <si>
    <t>TÍNH ĐẾN 31/3/2023</t>
  </si>
  <si>
    <t>Họ Và Tên</t>
  </si>
  <si>
    <t>Số xe</t>
  </si>
  <si>
    <t xml:space="preserve">N/L </t>
  </si>
  <si>
    <t xml:space="preserve">chênh </t>
  </si>
  <si>
    <t>Ký Nộp</t>
  </si>
  <si>
    <t>Sổ sách</t>
  </si>
  <si>
    <t>Thực tế</t>
  </si>
  <si>
    <t>lệch</t>
  </si>
  <si>
    <t>(lít)</t>
  </si>
  <si>
    <t>(đồng)</t>
  </si>
  <si>
    <t>Nguyễn Thế Anh</t>
  </si>
  <si>
    <t>43C 11394</t>
  </si>
  <si>
    <t xml:space="preserve">Cao Xuân Huy </t>
  </si>
  <si>
    <t>43C 22804</t>
  </si>
  <si>
    <t>Trần Hữu Ninh</t>
  </si>
  <si>
    <t>43C 22738</t>
  </si>
  <si>
    <t>Hà Khanh</t>
  </si>
  <si>
    <t>43C 22838</t>
  </si>
  <si>
    <t>Nguyễn Phước Tuân</t>
  </si>
  <si>
    <t>43C 22818</t>
  </si>
  <si>
    <t>43C 11264</t>
  </si>
  <si>
    <t>Trần Văn Phước</t>
  </si>
  <si>
    <t>43C 22884</t>
  </si>
  <si>
    <t xml:space="preserve">Hồ Viết Sáng </t>
  </si>
  <si>
    <t>43C 19909</t>
  </si>
  <si>
    <t>Huỳnh Xuân Hậu</t>
  </si>
  <si>
    <t>43C 02852</t>
  </si>
  <si>
    <t>Đỗ Hồng Hiệp</t>
  </si>
  <si>
    <t>43C 02842</t>
  </si>
  <si>
    <t>Võ Văn Tâm</t>
  </si>
  <si>
    <t>43C 02837</t>
  </si>
  <si>
    <t>Trần Văn Bình</t>
  </si>
  <si>
    <t>43C 02850</t>
  </si>
  <si>
    <t>Nguyễn Đình Phi</t>
  </si>
  <si>
    <t>43C 02789</t>
  </si>
  <si>
    <t>Nguyễn Đức Tiên</t>
  </si>
  <si>
    <t>43C 11202</t>
  </si>
  <si>
    <t>Nguyễn Hân</t>
  </si>
  <si>
    <t>43C 19991</t>
  </si>
  <si>
    <t>Phùng Văn Minh</t>
  </si>
  <si>
    <t>43C 00859</t>
  </si>
  <si>
    <t>Lê Tấn Sơn</t>
  </si>
  <si>
    <t>43C 01190</t>
  </si>
  <si>
    <t>Tổng Cộng</t>
  </si>
  <si>
    <t xml:space="preserve">                      Đà Nẵng, ngày 31 tháng 3 năm 2023</t>
  </si>
  <si>
    <t xml:space="preserve">     Giám Đốc                              Kế Toán Trưởng</t>
  </si>
  <si>
    <t>Đội vận tải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</si>
</sst>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;[Red]0.00"/>
    <numFmt numFmtId="165" formatCode="0.0"/>
    <numFmt numFmtId="166" formatCode="_(* #,##0.0_);_(* \(#,##0.0\);_(* &quot;-&quot;??_);_(@_)"/>
    <numFmt numFmtId="167" formatCode="dd/mm"/>
    <numFmt numFmtId="168" formatCode="#,##0.0"/>
    <numFmt numFmtId="169" formatCode="_(* #,##0.000_);_(* \(#,##0.000\);_(* &quot;-&quot;??_);_(@_)"/>
  </numFmts>
  <fonts count="30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sz val="16.0"/>
      <color theme="1"/>
      <name val="Times New Roman"/>
    </font>
    <font>
      <b/>
      <sz val="13.0"/>
      <color theme="1"/>
      <name val="Times New Roman"/>
    </font>
    <font>
      <i/>
      <sz val="13.0"/>
      <color theme="1"/>
      <name val="Times New Roman"/>
    </font>
    <font>
      <sz val="13.0"/>
      <color rgb="FF000000"/>
      <name val="Times New Roman"/>
    </font>
    <font>
      <b/>
      <sz val="10.0"/>
      <color theme="1"/>
      <name val="Arial"/>
    </font>
    <font>
      <sz val="16.0"/>
      <color theme="1"/>
      <name val="Arial"/>
    </font>
    <font>
      <sz val="12.0"/>
      <color theme="1"/>
      <name val="Arial"/>
    </font>
    <font/>
    <font>
      <sz val="10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8.0"/>
      <color theme="1"/>
      <name val="Arial"/>
    </font>
    <font>
      <sz val="10.0"/>
      <color rgb="FFFF0000"/>
      <name val="Arial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i/>
      <sz val="12.0"/>
      <color theme="1"/>
      <name val="Times New Roman"/>
    </font>
    <font>
      <sz val="11.0"/>
      <color theme="1"/>
      <name val="Arial"/>
    </font>
    <font>
      <b/>
      <sz val="10.0"/>
      <color theme="1"/>
      <name val="Times New Roman"/>
    </font>
    <font>
      <sz val="12.0"/>
      <color theme="1"/>
      <name val="Calibri"/>
    </font>
    <font>
      <color theme="1"/>
      <name val="Arial"/>
      <scheme val="minor"/>
    </font>
    <font>
      <i/>
      <sz val="12.0"/>
      <color theme="1"/>
      <name val="Times New Roman"/>
    </font>
    <font>
      <b/>
      <sz val="13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1.0"/>
      <color theme="1"/>
      <name val="Calibri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0" fontId="5" numFmtId="164" xfId="0" applyAlignment="1" applyBorder="1" applyFont="1" applyNumberFormat="1">
      <alignment shrinkToFit="0" vertical="center" wrapText="0"/>
    </xf>
    <xf borderId="3" fillId="0" fontId="5" numFmtId="164" xfId="0" applyAlignment="1" applyBorder="1" applyFont="1" applyNumberFormat="1">
      <alignment shrinkToFit="0" vertical="center" wrapText="0"/>
    </xf>
    <xf borderId="4" fillId="0" fontId="3" numFmtId="164" xfId="0" applyAlignment="1" applyBorder="1" applyFont="1" applyNumberForma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0" fontId="3" numFmtId="3" xfId="0" applyAlignment="1" applyBorder="1" applyFont="1" applyNumberForma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164" xfId="0" applyAlignment="1" applyBorder="1" applyFont="1" applyNumberFormat="1">
      <alignment shrinkToFit="0" vertical="center" wrapText="0"/>
    </xf>
    <xf borderId="3" fillId="0" fontId="3" numFmtId="2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center" wrapText="0"/>
    </xf>
    <xf borderId="5" fillId="0" fontId="5" numFmtId="3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6" fillId="0" fontId="10" numFmtId="0" xfId="0" applyAlignment="1" applyBorder="1" applyFont="1">
      <alignment horizontal="center" shrinkToFit="0" vertical="bottom" wrapText="0"/>
    </xf>
    <xf borderId="6" fillId="0" fontId="11" numFmtId="0" xfId="0" applyBorder="1" applyFont="1"/>
    <xf borderId="3" fillId="0" fontId="12" numFmtId="0" xfId="0" applyAlignment="1" applyBorder="1" applyFont="1">
      <alignment horizontal="center" shrinkToFit="0" vertical="center" wrapText="0"/>
    </xf>
    <xf borderId="3" fillId="0" fontId="1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bottom" wrapText="1"/>
    </xf>
    <xf borderId="3" fillId="0" fontId="14" numFmtId="0" xfId="0" applyAlignment="1" applyBorder="1" applyFont="1">
      <alignment horizontal="center" shrinkToFit="0" vertical="bottom" wrapText="1"/>
    </xf>
    <xf borderId="3" fillId="0" fontId="15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shrinkToFit="0" vertical="bottom" wrapText="0"/>
    </xf>
    <xf borderId="3" fillId="0" fontId="16" numFmtId="0" xfId="0" applyAlignment="1" applyBorder="1" applyFont="1">
      <alignment shrinkToFit="0" vertical="bottom" wrapText="0"/>
    </xf>
    <xf borderId="3" fillId="0" fontId="12" numFmtId="4" xfId="0" applyAlignment="1" applyBorder="1" applyFont="1" applyNumberFormat="1">
      <alignment shrinkToFit="0" vertical="bottom" wrapText="0"/>
    </xf>
    <xf borderId="3" fillId="0" fontId="12" numFmtId="3" xfId="0" applyAlignment="1" applyBorder="1" applyFont="1" applyNumberFormat="1">
      <alignment shrinkToFit="0" vertical="bottom" wrapText="0"/>
    </xf>
    <xf borderId="3" fillId="0" fontId="16" numFmtId="0" xfId="0" applyAlignment="1" applyBorder="1" applyFont="1">
      <alignment horizontal="center" shrinkToFit="0" vertical="bottom" wrapText="1"/>
    </xf>
    <xf borderId="3" fillId="0" fontId="16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shrinkToFit="0" vertical="bottom" wrapText="0"/>
    </xf>
    <xf borderId="3" fillId="0" fontId="8" numFmtId="4" xfId="0" applyAlignment="1" applyBorder="1" applyFont="1" applyNumberFormat="1">
      <alignment shrinkToFit="0" vertical="bottom" wrapText="0"/>
    </xf>
    <xf borderId="3" fillId="0" fontId="8" numFmtId="3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2" numFmtId="3" xfId="0" applyAlignment="1" applyBorder="1" applyFont="1" applyNumberFormat="1">
      <alignment horizontal="center" shrinkToFit="0" vertical="center" wrapText="0"/>
    </xf>
    <xf borderId="3" fillId="0" fontId="2" numFmtId="3" xfId="0" applyAlignment="1" applyBorder="1" applyFont="1" applyNumberFormat="1">
      <alignment shrinkToFit="0" vertical="center" wrapText="0"/>
    </xf>
    <xf borderId="3" fillId="0" fontId="2" numFmtId="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0"/>
    </xf>
    <xf borderId="4" fillId="0" fontId="11" numFmtId="0" xfId="0" applyBorder="1" applyFont="1"/>
    <xf borderId="3" fillId="0" fontId="1" numFmtId="3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shrinkToFit="0" vertical="center" wrapText="0"/>
    </xf>
    <xf borderId="3" fillId="0" fontId="1" numFmtId="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166" xfId="0" applyAlignment="1" applyBorder="1" applyFont="1" applyNumberFormat="1">
      <alignment horizontal="right" shrinkToFit="0" vertical="center" wrapText="0"/>
    </xf>
    <xf borderId="3" fillId="0" fontId="1" numFmtId="166" xfId="0" applyAlignment="1" applyBorder="1" applyFont="1" applyNumberFormat="1">
      <alignment shrinkToFit="0" vertical="center" wrapText="0"/>
    </xf>
    <xf borderId="0" fillId="0" fontId="12" numFmtId="166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7" fillId="0" fontId="19" numFmtId="0" xfId="0" applyAlignment="1" applyBorder="1" applyFont="1">
      <alignment horizontal="center" shrinkToFit="0" vertical="center" wrapText="0"/>
    </xf>
    <xf borderId="7" fillId="0" fontId="11" numFmtId="0" xfId="0" applyBorder="1" applyFont="1"/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21" numFmtId="0" xfId="0" applyAlignment="1" applyFont="1">
      <alignment horizontal="right" shrinkToFit="0" vertical="bottom" wrapText="0"/>
    </xf>
    <xf borderId="3" fillId="0" fontId="2" numFmtId="2" xfId="0" applyAlignment="1" applyBorder="1" applyFont="1" applyNumberFormat="1">
      <alignment shrinkToFit="0" vertical="center" wrapText="0"/>
    </xf>
    <xf borderId="3" fillId="0" fontId="22" numFmtId="2" xfId="0" applyAlignment="1" applyBorder="1" applyFont="1" applyNumberFormat="1">
      <alignment shrinkToFit="0" vertical="bottom" wrapText="0"/>
    </xf>
    <xf borderId="3" fillId="0" fontId="2" numFmtId="2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center" wrapText="0"/>
    </xf>
    <xf borderId="0" fillId="0" fontId="23" numFmtId="0" xfId="0" applyFont="1"/>
    <xf borderId="7" fillId="0" fontId="24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horizontal="right" shrinkToFit="0" vertical="bottom" wrapText="1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6" numFmtId="167" xfId="0" applyAlignment="1" applyBorder="1" applyFont="1" applyNumberFormat="1">
      <alignment horizontal="center" shrinkToFit="0" vertical="center" wrapText="0"/>
    </xf>
    <xf borderId="1" fillId="0" fontId="26" numFmtId="167" xfId="0" applyAlignment="1" applyBorder="1" applyFont="1" applyNumberFormat="1">
      <alignment horizontal="center" shrinkToFit="0" vertical="bottom" wrapText="0"/>
    </xf>
    <xf borderId="8" fillId="0" fontId="11" numFmtId="0" xfId="0" applyBorder="1" applyFont="1"/>
    <xf borderId="8" fillId="0" fontId="26" numFmtId="167" xfId="0" applyAlignment="1" applyBorder="1" applyFont="1" applyNumberFormat="1">
      <alignment horizontal="center" shrinkToFit="0" vertical="bottom" wrapText="0"/>
    </xf>
    <xf borderId="9" fillId="0" fontId="11" numFmtId="0" xfId="0" applyBorder="1" applyFont="1"/>
    <xf borderId="9" fillId="0" fontId="26" numFmtId="167" xfId="0" applyAlignment="1" applyBorder="1" applyFont="1" applyNumberForma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center" wrapText="0"/>
    </xf>
    <xf borderId="9" fillId="0" fontId="26" numFmtId="167" xfId="0" applyAlignment="1" applyBorder="1" applyFont="1" applyNumberFormat="1">
      <alignment horizontal="center" shrinkToFit="0" vertical="center" wrapText="0"/>
    </xf>
    <xf borderId="9" fillId="0" fontId="10" numFmtId="4" xfId="0" applyAlignment="1" applyBorder="1" applyFont="1" applyNumberFormat="1">
      <alignment horizontal="center" shrinkToFit="0" vertical="bottom" wrapText="0"/>
    </xf>
    <xf borderId="9" fillId="0" fontId="10" numFmtId="3" xfId="0" applyAlignment="1" applyBorder="1" applyFont="1" applyNumberFormat="1">
      <alignment horizontal="center" shrinkToFit="0" vertical="bottom" wrapText="0"/>
    </xf>
    <xf borderId="9" fillId="0" fontId="10" numFmtId="168" xfId="0" applyAlignment="1" applyBorder="1" applyFont="1" applyNumberFormat="1">
      <alignment horizontal="center" shrinkToFit="0" vertical="bottom" wrapText="0"/>
    </xf>
    <xf borderId="9" fillId="0" fontId="10" numFmtId="3" xfId="0" applyAlignment="1" applyBorder="1" applyFont="1" applyNumberFormat="1">
      <alignment horizontal="center" shrinkToFit="0" vertical="center" wrapText="0"/>
    </xf>
    <xf borderId="9" fillId="0" fontId="10" numFmtId="2" xfId="0" applyAlignment="1" applyBorder="1" applyFont="1" applyNumberFormat="1">
      <alignment horizontal="center" shrinkToFit="0" vertical="bottom" wrapText="0"/>
    </xf>
    <xf borderId="3" fillId="0" fontId="10" numFmtId="2" xfId="0" applyAlignment="1" applyBorder="1" applyFont="1" applyNumberFormat="1">
      <alignment horizontal="right" shrinkToFit="0" vertical="bottom" wrapText="0"/>
    </xf>
    <xf borderId="3" fillId="0" fontId="10" numFmtId="169" xfId="0" applyAlignment="1" applyBorder="1" applyFont="1" applyNumberFormat="1">
      <alignment horizontal="right" shrinkToFit="0" vertical="bottom" wrapText="0"/>
    </xf>
    <xf borderId="0" fillId="0" fontId="2" numFmtId="169" xfId="0" applyAlignment="1" applyFont="1" applyNumberFormat="1">
      <alignment shrinkToFit="0" vertical="bottom" wrapText="0"/>
    </xf>
    <xf borderId="3" fillId="0" fontId="10" numFmtId="2" xfId="0" applyAlignment="1" applyBorder="1" applyFont="1" applyNumberFormat="1">
      <alignment horizontal="center" shrinkToFit="0" vertical="bottom" wrapText="0"/>
    </xf>
    <xf borderId="3" fillId="0" fontId="28" numFmtId="0" xfId="0" applyAlignment="1" applyBorder="1" applyFont="1">
      <alignment shrinkToFit="0" vertical="bottom" wrapText="0"/>
    </xf>
    <xf borderId="3" fillId="0" fontId="10" numFmtId="3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4" xfId="0" applyAlignment="1" applyBorder="1" applyFont="1" applyNumberFormat="1">
      <alignment shrinkToFit="0" vertical="bottom" wrapText="0"/>
    </xf>
    <xf borderId="3" fillId="0" fontId="1" numFmtId="3" xfId="0" applyAlignment="1" applyBorder="1" applyFont="1" applyNumberFormat="1">
      <alignment shrinkToFit="0" vertical="bottom" wrapText="0"/>
    </xf>
    <xf borderId="3" fillId="0" fontId="1" numFmtId="169" xfId="0" applyAlignment="1" applyBorder="1" applyFont="1" applyNumberFormat="1">
      <alignment horizontal="center"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7" fillId="0" fontId="1" numFmtId="4" xfId="0" applyAlignment="1" applyBorder="1" applyFont="1" applyNumberFormat="1">
      <alignment shrinkToFit="0" vertical="bottom" wrapText="0"/>
    </xf>
    <xf borderId="7" fillId="0" fontId="1" numFmtId="3" xfId="0" applyAlignment="1" applyBorder="1" applyFont="1" applyNumberFormat="1">
      <alignment shrinkToFit="0" vertical="bottom" wrapText="0"/>
    </xf>
    <xf borderId="7" fillId="0" fontId="1" numFmtId="169" xfId="0" applyAlignment="1" applyBorder="1" applyFont="1" applyNumberFormat="1">
      <alignment horizontal="center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29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142875</xdr:rowOff>
    </xdr:from>
    <xdr:ext cx="138112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2.75"/>
    <col customWidth="1" min="3" max="3" width="13.5"/>
    <col customWidth="1" min="4" max="4" width="20.0"/>
    <col customWidth="1" min="5" max="5" width="20.25"/>
    <col customWidth="1" min="6" max="6" width="29.5"/>
    <col customWidth="1" min="7" max="26" width="8.0"/>
  </cols>
  <sheetData>
    <row r="1" ht="12.75" customHeight="1"/>
    <row r="2" ht="21.75" customHeight="1">
      <c r="A2" s="1" t="s">
        <v>0</v>
      </c>
      <c r="D2" s="1" t="s">
        <v>1</v>
      </c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" t="s">
        <v>2</v>
      </c>
      <c r="D3" s="1" t="s">
        <v>3</v>
      </c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/>
      <c r="B4" s="5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8" t="s">
        <v>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9" t="s">
        <v>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9"/>
      <c r="B7" s="9"/>
      <c r="C7" s="9"/>
      <c r="D7" s="9"/>
      <c r="E7" s="9"/>
      <c r="F7" s="9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7"/>
      <c r="B8" s="10" t="s">
        <v>6</v>
      </c>
      <c r="C8" s="1"/>
      <c r="D8" s="10" t="s">
        <v>7</v>
      </c>
      <c r="E8" s="7"/>
      <c r="F8" s="9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9"/>
      <c r="B9" s="9"/>
      <c r="C9" s="9"/>
      <c r="D9" s="9"/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40.5" customHeight="1">
      <c r="A10" s="11" t="s">
        <v>8</v>
      </c>
      <c r="B10" s="11" t="s">
        <v>9</v>
      </c>
      <c r="C10" s="12" t="s">
        <v>10</v>
      </c>
      <c r="D10" s="12" t="s">
        <v>11</v>
      </c>
      <c r="E10" s="11" t="s">
        <v>12</v>
      </c>
      <c r="F10" s="11" t="s">
        <v>13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0" customHeight="1">
      <c r="A11" s="13">
        <v>1.0</v>
      </c>
      <c r="B11" s="14" t="s">
        <v>14</v>
      </c>
      <c r="C11" s="14"/>
      <c r="D11" s="14"/>
      <c r="E11" s="15"/>
      <c r="F11" s="1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0" customHeight="1">
      <c r="A12" s="13">
        <v>2.0</v>
      </c>
      <c r="B12" s="14" t="s">
        <v>15</v>
      </c>
      <c r="C12" s="14"/>
      <c r="D12" s="14"/>
      <c r="E12" s="15">
        <v>1400.0</v>
      </c>
      <c r="F12" s="1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0" customHeight="1">
      <c r="A13" s="13">
        <v>3.0</v>
      </c>
      <c r="B13" s="14" t="s">
        <v>16</v>
      </c>
      <c r="C13" s="14"/>
      <c r="D13" s="14"/>
      <c r="E13" s="15">
        <f>SUM(E14:E15)</f>
        <v>1351.08</v>
      </c>
      <c r="F13" s="1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0" customHeight="1">
      <c r="A14" s="18" t="s">
        <v>17</v>
      </c>
      <c r="B14" s="14" t="s">
        <v>18</v>
      </c>
      <c r="C14" s="19">
        <v>43.0</v>
      </c>
      <c r="D14" s="20">
        <v>1.48</v>
      </c>
      <c r="E14" s="21">
        <f t="shared" ref="E14:E15" si="1">C14*D14</f>
        <v>63.64</v>
      </c>
      <c r="F14" s="21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0" customHeight="1">
      <c r="A15" s="18" t="s">
        <v>19</v>
      </c>
      <c r="B15" s="14" t="s">
        <v>20</v>
      </c>
      <c r="C15" s="19">
        <v>1064.0</v>
      </c>
      <c r="D15" s="22">
        <v>1.21</v>
      </c>
      <c r="E15" s="21">
        <f t="shared" si="1"/>
        <v>1287.44</v>
      </c>
      <c r="F15" s="2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0" customHeight="1">
      <c r="A16" s="13">
        <v>4.0</v>
      </c>
      <c r="B16" s="23" t="s">
        <v>21</v>
      </c>
      <c r="C16" s="24"/>
      <c r="D16" s="25"/>
      <c r="E16" s="16">
        <f>E11+E12-E13</f>
        <v>48.92</v>
      </c>
      <c r="F16" s="1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6"/>
      <c r="B17" s="6"/>
      <c r="C17" s="6"/>
      <c r="D17" s="26" t="s">
        <v>22</v>
      </c>
      <c r="E17" s="27" t="s">
        <v>23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1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28"/>
      <c r="B19" s="28"/>
      <c r="C19" s="28"/>
      <c r="D19" s="29"/>
      <c r="E19" s="29"/>
      <c r="F19" s="3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7"/>
      <c r="B20" s="7"/>
      <c r="C20" s="7"/>
      <c r="D20" s="7"/>
      <c r="E20" s="7"/>
      <c r="F20" s="3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7"/>
      <c r="B21" s="7"/>
      <c r="C21" s="7"/>
      <c r="D21" s="7"/>
      <c r="E21" s="7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7"/>
      <c r="B22" s="7"/>
      <c r="C22" s="7"/>
      <c r="D22" s="31" t="s">
        <v>29</v>
      </c>
      <c r="E22" s="31"/>
      <c r="F22" s="32" t="s">
        <v>30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2:C2"/>
    <mergeCell ref="D2:F2"/>
    <mergeCell ref="A3:C3"/>
    <mergeCell ref="D3:F3"/>
    <mergeCell ref="A5:F5"/>
    <mergeCell ref="A6:F6"/>
    <mergeCell ref="E17:F17"/>
    <mergeCell ref="A18:B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8.75"/>
    <col customWidth="1" min="3" max="4" width="9.25"/>
    <col customWidth="1" hidden="1" min="5" max="5" width="10.0"/>
    <col customWidth="1" hidden="1" min="6" max="6" width="9.75"/>
    <col customWidth="1" hidden="1" min="7" max="7" width="9.5"/>
    <col customWidth="1" hidden="1" min="8" max="8" width="9.25"/>
    <col customWidth="1" hidden="1" min="9" max="9" width="9.0"/>
    <col customWidth="1" hidden="1" min="10" max="11" width="9.25"/>
    <col customWidth="1" hidden="1" min="12" max="12" width="8.75"/>
    <col customWidth="1" hidden="1" min="13" max="13" width="7.25"/>
    <col customWidth="1" hidden="1" min="14" max="14" width="9.0"/>
    <col customWidth="1" hidden="1" min="15" max="15" width="8.75"/>
    <col customWidth="1" hidden="1" min="16" max="16" width="9.5"/>
    <col customWidth="1" hidden="1" min="17" max="17" width="8.75"/>
    <col customWidth="1" hidden="1" min="18" max="18" width="9.25"/>
    <col customWidth="1" min="19" max="19" width="5.75"/>
    <col customWidth="1" min="20" max="20" width="10.5"/>
    <col customWidth="1" min="21" max="21" width="10.75"/>
    <col customWidth="1" min="22" max="22" width="12.5"/>
    <col customWidth="1" min="23" max="23" width="12.25"/>
    <col customWidth="1" min="24" max="24" width="12.75"/>
    <col customWidth="1" min="25" max="25" width="17.75"/>
    <col customWidth="1" min="26" max="26" width="8.0"/>
  </cols>
  <sheetData>
    <row r="1" ht="12.75" customHeight="1">
      <c r="A1" s="33" t="s">
        <v>31</v>
      </c>
    </row>
    <row r="2" ht="20.25" customHeight="1">
      <c r="A2" s="34" t="s">
        <v>32</v>
      </c>
    </row>
    <row r="3" ht="15.0" customHeight="1">
      <c r="A3" s="35" t="s">
        <v>33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ht="30.0" customHeight="1">
      <c r="A4" s="37" t="s">
        <v>34</v>
      </c>
      <c r="B4" s="38" t="s">
        <v>35</v>
      </c>
      <c r="C4" s="39" t="s">
        <v>36</v>
      </c>
      <c r="D4" s="39" t="s">
        <v>37</v>
      </c>
      <c r="E4" s="39" t="s">
        <v>38</v>
      </c>
      <c r="F4" s="39" t="s">
        <v>39</v>
      </c>
      <c r="G4" s="39" t="s">
        <v>40</v>
      </c>
      <c r="H4" s="39" t="s">
        <v>41</v>
      </c>
      <c r="I4" s="39" t="s">
        <v>42</v>
      </c>
      <c r="J4" s="39" t="s">
        <v>43</v>
      </c>
      <c r="K4" s="39" t="s">
        <v>44</v>
      </c>
      <c r="L4" s="39" t="s">
        <v>45</v>
      </c>
      <c r="M4" s="39" t="s">
        <v>46</v>
      </c>
      <c r="N4" s="39" t="s">
        <v>47</v>
      </c>
      <c r="O4" s="40" t="s">
        <v>48</v>
      </c>
      <c r="P4" s="39" t="s">
        <v>49</v>
      </c>
      <c r="Q4" s="39" t="s">
        <v>50</v>
      </c>
      <c r="R4" s="39" t="s">
        <v>51</v>
      </c>
      <c r="S4" s="41" t="s">
        <v>52</v>
      </c>
      <c r="T4" s="41" t="s">
        <v>53</v>
      </c>
      <c r="U4" s="41" t="s">
        <v>54</v>
      </c>
      <c r="V4" s="41" t="s">
        <v>55</v>
      </c>
      <c r="W4" s="41" t="s">
        <v>56</v>
      </c>
      <c r="X4" s="42" t="s">
        <v>57</v>
      </c>
      <c r="Y4" s="43" t="s">
        <v>58</v>
      </c>
    </row>
    <row r="5" ht="15.0" customHeight="1">
      <c r="A5" s="37"/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39"/>
      <c r="Q5" s="39"/>
      <c r="R5" s="39"/>
      <c r="S5" s="39">
        <v>1.0</v>
      </c>
      <c r="T5" s="39">
        <v>2.0</v>
      </c>
      <c r="U5" s="39"/>
      <c r="V5" s="39" t="s">
        <v>59</v>
      </c>
      <c r="W5" s="39">
        <v>4.0</v>
      </c>
      <c r="X5" s="43" t="s">
        <v>60</v>
      </c>
      <c r="Y5" s="43"/>
    </row>
    <row r="6" ht="25.5" customHeight="1">
      <c r="A6" s="43" t="s">
        <v>61</v>
      </c>
      <c r="B6" s="37">
        <f>236.52</f>
        <v>236.52</v>
      </c>
      <c r="C6" s="44">
        <v>1.0</v>
      </c>
      <c r="D6" s="44"/>
      <c r="E6" s="44"/>
      <c r="F6" s="44"/>
      <c r="G6" s="44"/>
      <c r="H6" s="44"/>
      <c r="I6" s="45"/>
      <c r="J6" s="44"/>
      <c r="K6" s="44"/>
      <c r="L6" s="44"/>
      <c r="M6" s="44"/>
      <c r="N6" s="44"/>
      <c r="O6" s="44"/>
      <c r="P6" s="44"/>
      <c r="Q6" s="44"/>
      <c r="R6" s="44"/>
      <c r="S6" s="44">
        <f t="shared" ref="S6:S26" si="1">SUM(C6:R6)</f>
        <v>1</v>
      </c>
      <c r="T6" s="46">
        <f>S6*B6</f>
        <v>236.52</v>
      </c>
      <c r="U6" s="47">
        <v>19726.0</v>
      </c>
      <c r="V6" s="47">
        <f>T6*U6</f>
        <v>4665593.52</v>
      </c>
      <c r="W6" s="47">
        <v>1.73E7</v>
      </c>
      <c r="X6" s="47">
        <f>S6*W6</f>
        <v>17300000</v>
      </c>
      <c r="Y6" s="44"/>
    </row>
    <row r="7" ht="25.5" customHeight="1">
      <c r="A7" s="43" t="s">
        <v>62</v>
      </c>
      <c r="B7" s="37">
        <v>68.0</v>
      </c>
      <c r="C7" s="44"/>
      <c r="D7" s="44"/>
      <c r="E7" s="44"/>
      <c r="F7" s="44"/>
      <c r="G7" s="44">
        <v>1.0</v>
      </c>
      <c r="H7" s="44"/>
      <c r="I7" s="45"/>
      <c r="J7" s="44"/>
      <c r="K7" s="44"/>
      <c r="L7" s="44"/>
      <c r="M7" s="44"/>
      <c r="N7" s="44"/>
      <c r="O7" s="44"/>
      <c r="P7" s="44"/>
      <c r="Q7" s="44"/>
      <c r="R7" s="44"/>
      <c r="S7" s="44">
        <f t="shared" si="1"/>
        <v>1</v>
      </c>
      <c r="T7" s="46"/>
      <c r="U7" s="47"/>
      <c r="V7" s="47"/>
      <c r="W7" s="47"/>
      <c r="X7" s="47"/>
      <c r="Y7" s="44"/>
    </row>
    <row r="8" ht="25.5" customHeight="1">
      <c r="A8" s="43" t="s">
        <v>63</v>
      </c>
      <c r="B8" s="37">
        <v>259.2</v>
      </c>
      <c r="C8" s="44"/>
      <c r="D8" s="44"/>
      <c r="E8" s="44"/>
      <c r="F8" s="44"/>
      <c r="G8" s="44"/>
      <c r="H8" s="44"/>
      <c r="I8" s="45"/>
      <c r="J8" s="44"/>
      <c r="K8" s="44"/>
      <c r="L8" s="44"/>
      <c r="M8" s="44">
        <v>1.0</v>
      </c>
      <c r="N8" s="44"/>
      <c r="O8" s="44"/>
      <c r="P8" s="44"/>
      <c r="Q8" s="44"/>
      <c r="R8" s="44"/>
      <c r="S8" s="44">
        <f t="shared" si="1"/>
        <v>1</v>
      </c>
      <c r="T8" s="46"/>
      <c r="U8" s="47"/>
      <c r="V8" s="47"/>
      <c r="W8" s="47"/>
      <c r="X8" s="47"/>
      <c r="Y8" s="44"/>
    </row>
    <row r="9" ht="25.5" customHeight="1">
      <c r="A9" s="43" t="s">
        <v>64</v>
      </c>
      <c r="B9" s="37">
        <v>310.0</v>
      </c>
      <c r="C9" s="44"/>
      <c r="D9" s="44">
        <v>2.0</v>
      </c>
      <c r="E9" s="44"/>
      <c r="F9" s="44">
        <v>6.0</v>
      </c>
      <c r="G9" s="44">
        <v>1.0</v>
      </c>
      <c r="H9" s="44">
        <v>8.0</v>
      </c>
      <c r="I9" s="45">
        <v>7.0</v>
      </c>
      <c r="J9" s="45">
        <v>8.0</v>
      </c>
      <c r="K9" s="44">
        <v>8.0</v>
      </c>
      <c r="L9" s="44">
        <v>7.0</v>
      </c>
      <c r="M9" s="44">
        <v>7.0</v>
      </c>
      <c r="N9" s="44">
        <v>9.0</v>
      </c>
      <c r="O9" s="44">
        <v>1.0</v>
      </c>
      <c r="P9" s="44">
        <v>5.0</v>
      </c>
      <c r="Q9" s="44"/>
      <c r="R9" s="44"/>
      <c r="S9" s="44">
        <f t="shared" si="1"/>
        <v>69</v>
      </c>
      <c r="T9" s="46">
        <f t="shared" ref="T9:T26" si="2">S9*B9</f>
        <v>21390</v>
      </c>
      <c r="U9" s="47">
        <v>19726.0</v>
      </c>
      <c r="V9" s="47">
        <f t="shared" ref="V9:V26" si="3">T9*U9</f>
        <v>421939140</v>
      </c>
      <c r="W9" s="47">
        <f>777*23640</f>
        <v>18368280</v>
      </c>
      <c r="X9" s="47">
        <f t="shared" ref="X9:X10" si="4">S9*W9</f>
        <v>1267411320</v>
      </c>
      <c r="Y9" s="44"/>
    </row>
    <row r="10" ht="24.75" customHeight="1">
      <c r="A10" s="43" t="s">
        <v>65</v>
      </c>
      <c r="B10" s="37">
        <v>62.0</v>
      </c>
      <c r="C10" s="44">
        <v>7.0</v>
      </c>
      <c r="D10" s="44"/>
      <c r="E10" s="44">
        <v>11.0</v>
      </c>
      <c r="F10" s="44">
        <v>3.0</v>
      </c>
      <c r="G10" s="45">
        <v>4.0</v>
      </c>
      <c r="H10" s="44">
        <v>4.0</v>
      </c>
      <c r="I10" s="45"/>
      <c r="J10" s="45">
        <v>2.0</v>
      </c>
      <c r="K10" s="44">
        <v>2.0</v>
      </c>
      <c r="L10" s="44">
        <v>4.0</v>
      </c>
      <c r="M10" s="44">
        <v>1.0</v>
      </c>
      <c r="N10" s="44">
        <v>2.0</v>
      </c>
      <c r="O10" s="44">
        <v>4.0</v>
      </c>
      <c r="P10" s="44">
        <v>3.0</v>
      </c>
      <c r="Q10" s="44"/>
      <c r="R10" s="44"/>
      <c r="S10" s="44">
        <f t="shared" si="1"/>
        <v>47</v>
      </c>
      <c r="T10" s="46">
        <f t="shared" si="2"/>
        <v>2914</v>
      </c>
      <c r="U10" s="47">
        <v>19726.0</v>
      </c>
      <c r="V10" s="47">
        <f t="shared" si="3"/>
        <v>57481564</v>
      </c>
      <c r="W10" s="47">
        <f>2700000</f>
        <v>2700000</v>
      </c>
      <c r="X10" s="47">
        <f t="shared" si="4"/>
        <v>126900000</v>
      </c>
      <c r="Y10" s="44"/>
    </row>
    <row r="11" ht="27.75" customHeight="1">
      <c r="A11" s="43" t="s">
        <v>66</v>
      </c>
      <c r="B11" s="37">
        <v>124.0</v>
      </c>
      <c r="C11" s="44">
        <v>1.0</v>
      </c>
      <c r="D11" s="44"/>
      <c r="E11" s="44">
        <v>1.0</v>
      </c>
      <c r="F11" s="44"/>
      <c r="G11" s="45"/>
      <c r="H11" s="44"/>
      <c r="I11" s="44"/>
      <c r="J11" s="44">
        <v>1.0</v>
      </c>
      <c r="K11" s="44"/>
      <c r="L11" s="44"/>
      <c r="M11" s="44">
        <v>2.0</v>
      </c>
      <c r="N11" s="44"/>
      <c r="O11" s="44">
        <v>1.0</v>
      </c>
      <c r="P11" s="44"/>
      <c r="Q11" s="44"/>
      <c r="R11" s="44"/>
      <c r="S11" s="44">
        <f t="shared" si="1"/>
        <v>6</v>
      </c>
      <c r="T11" s="46">
        <f t="shared" si="2"/>
        <v>744</v>
      </c>
      <c r="U11" s="47">
        <v>19726.0</v>
      </c>
      <c r="V11" s="47">
        <f t="shared" si="3"/>
        <v>14676144</v>
      </c>
      <c r="W11" s="47">
        <v>2700000.0</v>
      </c>
      <c r="X11" s="47">
        <f>S11*2*W11</f>
        <v>32400000</v>
      </c>
      <c r="Y11" s="44"/>
    </row>
    <row r="12" ht="23.25" customHeight="1">
      <c r="A12" s="48" t="s">
        <v>67</v>
      </c>
      <c r="B12" s="49">
        <v>27.0</v>
      </c>
      <c r="C12" s="44">
        <v>1.0</v>
      </c>
      <c r="D12" s="44"/>
      <c r="E12" s="44">
        <v>3.0</v>
      </c>
      <c r="F12" s="44"/>
      <c r="G12" s="45">
        <v>1.0</v>
      </c>
      <c r="H12" s="44">
        <v>2.0</v>
      </c>
      <c r="I12" s="44">
        <v>1.0</v>
      </c>
      <c r="J12" s="44"/>
      <c r="K12" s="44"/>
      <c r="L12" s="44"/>
      <c r="M12" s="44"/>
      <c r="N12" s="44"/>
      <c r="O12" s="44">
        <v>1.0</v>
      </c>
      <c r="P12" s="44">
        <v>2.0</v>
      </c>
      <c r="Q12" s="44"/>
      <c r="R12" s="44"/>
      <c r="S12" s="44">
        <f t="shared" si="1"/>
        <v>11</v>
      </c>
      <c r="T12" s="46">
        <f t="shared" si="2"/>
        <v>297</v>
      </c>
      <c r="U12" s="47">
        <v>19726.0</v>
      </c>
      <c r="V12" s="47">
        <f t="shared" si="3"/>
        <v>5858622</v>
      </c>
      <c r="W12" s="47">
        <v>1650000.0</v>
      </c>
      <c r="X12" s="47">
        <f>S12*W12</f>
        <v>18150000</v>
      </c>
      <c r="Y12" s="44"/>
    </row>
    <row r="13" ht="25.5" customHeight="1">
      <c r="A13" s="43" t="s">
        <v>68</v>
      </c>
      <c r="B13" s="37">
        <v>50.0</v>
      </c>
      <c r="C13" s="44"/>
      <c r="D13" s="44"/>
      <c r="E13" s="44">
        <v>8.0</v>
      </c>
      <c r="F13" s="44">
        <v>2.0</v>
      </c>
      <c r="G13" s="45">
        <v>1.0</v>
      </c>
      <c r="H13" s="44"/>
      <c r="I13" s="44">
        <v>2.0</v>
      </c>
      <c r="J13" s="44"/>
      <c r="K13" s="44"/>
      <c r="L13" s="44"/>
      <c r="M13" s="44"/>
      <c r="N13" s="44"/>
      <c r="O13" s="44">
        <v>3.0</v>
      </c>
      <c r="P13" s="44">
        <v>5.0</v>
      </c>
      <c r="Q13" s="44"/>
      <c r="R13" s="44"/>
      <c r="S13" s="44">
        <f t="shared" si="1"/>
        <v>21</v>
      </c>
      <c r="T13" s="46">
        <f t="shared" si="2"/>
        <v>1050</v>
      </c>
      <c r="U13" s="47">
        <v>19726.0</v>
      </c>
      <c r="V13" s="47">
        <f t="shared" si="3"/>
        <v>20712300</v>
      </c>
      <c r="W13" s="47">
        <v>1650000.0</v>
      </c>
      <c r="X13" s="47">
        <f>S13*2*W13</f>
        <v>69300000</v>
      </c>
      <c r="Y13" s="44"/>
    </row>
    <row r="14" ht="25.5" customHeight="1">
      <c r="A14" s="43" t="s">
        <v>69</v>
      </c>
      <c r="B14" s="37">
        <v>75.0</v>
      </c>
      <c r="C14" s="44"/>
      <c r="D14" s="44"/>
      <c r="E14" s="44">
        <v>2.0</v>
      </c>
      <c r="F14" s="44">
        <v>1.0</v>
      </c>
      <c r="G14" s="45">
        <v>1.0</v>
      </c>
      <c r="H14" s="44"/>
      <c r="I14" s="44">
        <v>1.0</v>
      </c>
      <c r="J14" s="44"/>
      <c r="K14" s="44"/>
      <c r="L14" s="44"/>
      <c r="M14" s="44"/>
      <c r="N14" s="44"/>
      <c r="O14" s="44"/>
      <c r="P14" s="44">
        <v>1.0</v>
      </c>
      <c r="Q14" s="44"/>
      <c r="R14" s="44"/>
      <c r="S14" s="44">
        <f t="shared" si="1"/>
        <v>6</v>
      </c>
      <c r="T14" s="46">
        <f t="shared" si="2"/>
        <v>450</v>
      </c>
      <c r="U14" s="47">
        <v>19726.0</v>
      </c>
      <c r="V14" s="47">
        <f t="shared" si="3"/>
        <v>8876700</v>
      </c>
      <c r="W14" s="47">
        <v>1650000.0</v>
      </c>
      <c r="X14" s="47">
        <f>S14*3*W14</f>
        <v>29700000</v>
      </c>
      <c r="Y14" s="44"/>
    </row>
    <row r="15" ht="18.0" customHeight="1">
      <c r="A15" s="43" t="s">
        <v>70</v>
      </c>
      <c r="B15" s="43">
        <v>29.0</v>
      </c>
      <c r="C15" s="44"/>
      <c r="D15" s="44"/>
      <c r="E15" s="44"/>
      <c r="F15" s="44"/>
      <c r="G15" s="44"/>
      <c r="H15" s="44"/>
      <c r="I15" s="44"/>
      <c r="J15" s="44"/>
      <c r="K15" s="44"/>
      <c r="L15" s="44">
        <v>1.0</v>
      </c>
      <c r="M15" s="44"/>
      <c r="N15" s="44"/>
      <c r="O15" s="44"/>
      <c r="P15" s="44"/>
      <c r="Q15" s="44"/>
      <c r="R15" s="44"/>
      <c r="S15" s="44">
        <f t="shared" si="1"/>
        <v>1</v>
      </c>
      <c r="T15" s="46">
        <f t="shared" si="2"/>
        <v>29</v>
      </c>
      <c r="U15" s="47">
        <v>19726.0</v>
      </c>
      <c r="V15" s="47">
        <f t="shared" si="3"/>
        <v>572054</v>
      </c>
      <c r="W15" s="47">
        <v>2000000.0</v>
      </c>
      <c r="X15" s="47">
        <f>S15*W15</f>
        <v>2000000</v>
      </c>
      <c r="Y15" s="44"/>
    </row>
    <row r="16" ht="26.25" customHeight="1">
      <c r="A16" s="43" t="s">
        <v>71</v>
      </c>
      <c r="B16" s="43">
        <v>7.5</v>
      </c>
      <c r="C16" s="44">
        <f>16+7</f>
        <v>23</v>
      </c>
      <c r="D16" s="44">
        <v>9.0</v>
      </c>
      <c r="E16" s="44">
        <v>1.0</v>
      </c>
      <c r="F16" s="44">
        <v>22.0</v>
      </c>
      <c r="G16" s="45">
        <v>3.0</v>
      </c>
      <c r="H16" s="44">
        <v>11.0</v>
      </c>
      <c r="I16" s="44"/>
      <c r="J16" s="45">
        <v>17.0</v>
      </c>
      <c r="K16" s="44">
        <v>27.0</v>
      </c>
      <c r="L16" s="44">
        <v>25.0</v>
      </c>
      <c r="M16" s="45">
        <v>17.0</v>
      </c>
      <c r="N16" s="44"/>
      <c r="O16" s="45">
        <f>11+19</f>
        <v>30</v>
      </c>
      <c r="P16" s="44">
        <v>23.0</v>
      </c>
      <c r="Q16" s="44"/>
      <c r="R16" s="44">
        <v>3.0</v>
      </c>
      <c r="S16" s="44">
        <f t="shared" si="1"/>
        <v>211</v>
      </c>
      <c r="T16" s="46">
        <f t="shared" si="2"/>
        <v>1582.5</v>
      </c>
      <c r="U16" s="47">
        <v>19726.0</v>
      </c>
      <c r="V16" s="47">
        <f t="shared" si="3"/>
        <v>31216395</v>
      </c>
      <c r="W16" s="47">
        <v>25988.0</v>
      </c>
      <c r="X16" s="47">
        <f>S16*20*W16</f>
        <v>109669360</v>
      </c>
      <c r="Y16" s="44" t="s">
        <v>72</v>
      </c>
    </row>
    <row r="17" ht="26.25" customHeight="1">
      <c r="A17" s="43" t="s">
        <v>73</v>
      </c>
      <c r="B17" s="43">
        <v>7.5</v>
      </c>
      <c r="C17" s="44"/>
      <c r="D17" s="44"/>
      <c r="E17" s="44"/>
      <c r="F17" s="44"/>
      <c r="G17" s="44"/>
      <c r="H17" s="44"/>
      <c r="I17" s="44">
        <v>28.0</v>
      </c>
      <c r="J17" s="45"/>
      <c r="K17" s="44"/>
      <c r="L17" s="44"/>
      <c r="M17" s="45"/>
      <c r="N17" s="44"/>
      <c r="O17" s="45"/>
      <c r="P17" s="44"/>
      <c r="Q17" s="44"/>
      <c r="R17" s="44"/>
      <c r="S17" s="44">
        <f t="shared" si="1"/>
        <v>28</v>
      </c>
      <c r="T17" s="46">
        <f t="shared" si="2"/>
        <v>210</v>
      </c>
      <c r="U17" s="47">
        <v>19726.0</v>
      </c>
      <c r="V17" s="47">
        <f t="shared" si="3"/>
        <v>4142460</v>
      </c>
      <c r="W17" s="47">
        <f>(3000000+2600000)/2</f>
        <v>2800000</v>
      </c>
      <c r="X17" s="47">
        <f t="shared" ref="X17:X21" si="5">S17*W17</f>
        <v>78400000</v>
      </c>
      <c r="Y17" s="44" t="s">
        <v>74</v>
      </c>
    </row>
    <row r="18" ht="26.25" customHeight="1">
      <c r="A18" s="43" t="s">
        <v>75</v>
      </c>
      <c r="B18" s="43">
        <v>7.5</v>
      </c>
      <c r="C18" s="44">
        <f>5+4+11</f>
        <v>20</v>
      </c>
      <c r="D18" s="44">
        <v>5.0</v>
      </c>
      <c r="E18" s="45">
        <f>3+11</f>
        <v>14</v>
      </c>
      <c r="F18" s="44">
        <f>7+5</f>
        <v>12</v>
      </c>
      <c r="G18" s="45">
        <v>11.0</v>
      </c>
      <c r="H18" s="44">
        <v>4.0</v>
      </c>
      <c r="I18" s="44"/>
      <c r="J18" s="44">
        <v>8.0</v>
      </c>
      <c r="K18" s="44">
        <v>8.0</v>
      </c>
      <c r="L18" s="44">
        <v>5.0</v>
      </c>
      <c r="M18" s="45">
        <v>9.0</v>
      </c>
      <c r="N18" s="44">
        <v>3.0</v>
      </c>
      <c r="O18" s="45">
        <v>3.0</v>
      </c>
      <c r="P18" s="44"/>
      <c r="Q18" s="44">
        <f>44+48+12+6+21+20</f>
        <v>151</v>
      </c>
      <c r="R18" s="44">
        <f>61+72+53</f>
        <v>186</v>
      </c>
      <c r="S18" s="44">
        <f t="shared" si="1"/>
        <v>439</v>
      </c>
      <c r="T18" s="46">
        <f t="shared" si="2"/>
        <v>3292.5</v>
      </c>
      <c r="U18" s="47">
        <v>19726.0</v>
      </c>
      <c r="V18" s="47">
        <f t="shared" si="3"/>
        <v>64947855</v>
      </c>
      <c r="W18" s="47">
        <f>(1350000+1000000)/2</f>
        <v>1175000</v>
      </c>
      <c r="X18" s="47">
        <f t="shared" si="5"/>
        <v>515825000</v>
      </c>
      <c r="Y18" s="44" t="s">
        <v>76</v>
      </c>
    </row>
    <row r="19" ht="26.25" customHeight="1">
      <c r="A19" s="43" t="s">
        <v>77</v>
      </c>
      <c r="B19" s="43">
        <v>6.0</v>
      </c>
      <c r="C19" s="44">
        <v>8.0</v>
      </c>
      <c r="D19" s="44">
        <v>6.0</v>
      </c>
      <c r="E19" s="44">
        <v>10.0</v>
      </c>
      <c r="F19" s="44"/>
      <c r="G19" s="44">
        <v>3.0</v>
      </c>
      <c r="H19" s="44"/>
      <c r="I19" s="44"/>
      <c r="J19" s="44">
        <v>1.0</v>
      </c>
      <c r="K19" s="44"/>
      <c r="L19" s="44">
        <v>3.0</v>
      </c>
      <c r="M19" s="44">
        <v>1.0</v>
      </c>
      <c r="N19" s="44">
        <v>1.0</v>
      </c>
      <c r="O19" s="45"/>
      <c r="P19" s="44"/>
      <c r="Q19" s="44">
        <v>23.0</v>
      </c>
      <c r="R19" s="44">
        <v>29.0</v>
      </c>
      <c r="S19" s="44">
        <f t="shared" si="1"/>
        <v>85</v>
      </c>
      <c r="T19" s="46">
        <f t="shared" si="2"/>
        <v>510</v>
      </c>
      <c r="U19" s="47">
        <v>19726.0</v>
      </c>
      <c r="V19" s="47">
        <f t="shared" si="3"/>
        <v>10060260</v>
      </c>
      <c r="W19" s="47"/>
      <c r="X19" s="47">
        <f t="shared" si="5"/>
        <v>0</v>
      </c>
      <c r="Y19" s="50" t="s">
        <v>78</v>
      </c>
    </row>
    <row r="20" ht="26.25" customHeight="1">
      <c r="A20" s="43" t="s">
        <v>79</v>
      </c>
      <c r="B20" s="43">
        <v>6.0</v>
      </c>
      <c r="C20" s="44">
        <f>14+13+23+21</f>
        <v>71</v>
      </c>
      <c r="D20" s="44"/>
      <c r="E20" s="44"/>
      <c r="F20" s="44">
        <v>10.0</v>
      </c>
      <c r="G20" s="44">
        <f>16+5+9+4</f>
        <v>34</v>
      </c>
      <c r="H20" s="44"/>
      <c r="I20" s="44">
        <v>2.0</v>
      </c>
      <c r="J20" s="45">
        <v>3.0</v>
      </c>
      <c r="K20" s="44">
        <v>19.0</v>
      </c>
      <c r="L20" s="44">
        <v>21.0</v>
      </c>
      <c r="M20" s="44">
        <v>23.0</v>
      </c>
      <c r="N20" s="44">
        <v>10.0</v>
      </c>
      <c r="O20" s="44">
        <v>5.0</v>
      </c>
      <c r="P20" s="44"/>
      <c r="Q20" s="44"/>
      <c r="R20" s="44"/>
      <c r="S20" s="44">
        <f t="shared" si="1"/>
        <v>198</v>
      </c>
      <c r="T20" s="46">
        <f t="shared" si="2"/>
        <v>1188</v>
      </c>
      <c r="U20" s="47">
        <v>19726.0</v>
      </c>
      <c r="V20" s="47">
        <f t="shared" si="3"/>
        <v>23434488</v>
      </c>
      <c r="W20" s="47">
        <v>254100.0</v>
      </c>
      <c r="X20" s="47">
        <f t="shared" si="5"/>
        <v>50311800</v>
      </c>
      <c r="Y20" s="44" t="s">
        <v>80</v>
      </c>
    </row>
    <row r="21" ht="12.75" customHeight="1">
      <c r="A21" s="43" t="s">
        <v>81</v>
      </c>
      <c r="B21" s="43">
        <v>6.0</v>
      </c>
      <c r="C21" s="44"/>
      <c r="D21" s="44"/>
      <c r="E21" s="44"/>
      <c r="F21" s="44">
        <v>4.0</v>
      </c>
      <c r="G21" s="44"/>
      <c r="H21" s="44"/>
      <c r="I21" s="44"/>
      <c r="J21" s="45"/>
      <c r="K21" s="44"/>
      <c r="L21" s="44">
        <f>16+26</f>
        <v>42</v>
      </c>
      <c r="M21" s="44"/>
      <c r="N21" s="44"/>
      <c r="O21" s="44"/>
      <c r="P21" s="44"/>
      <c r="Q21" s="44"/>
      <c r="R21" s="44"/>
      <c r="S21" s="44">
        <f t="shared" si="1"/>
        <v>46</v>
      </c>
      <c r="T21" s="46">
        <f t="shared" si="2"/>
        <v>276</v>
      </c>
      <c r="U21" s="47">
        <v>19726.0</v>
      </c>
      <c r="V21" s="47">
        <f t="shared" si="3"/>
        <v>5444376</v>
      </c>
      <c r="W21" s="47">
        <v>254100.0</v>
      </c>
      <c r="X21" s="47">
        <f t="shared" si="5"/>
        <v>11688600</v>
      </c>
      <c r="Y21" s="44" t="s">
        <v>80</v>
      </c>
    </row>
    <row r="22" ht="12.75" customHeight="1">
      <c r="A22" s="43" t="s">
        <v>82</v>
      </c>
      <c r="B22" s="43">
        <v>1.4</v>
      </c>
      <c r="C22" s="44">
        <f>23+27+30+28</f>
        <v>108</v>
      </c>
      <c r="D22" s="44"/>
      <c r="E22" s="45">
        <f>9+25+7+31+26+20</f>
        <v>118</v>
      </c>
      <c r="F22" s="44">
        <f>28+32+12</f>
        <v>72</v>
      </c>
      <c r="G22" s="44">
        <f>15+19+16+45+3</f>
        <v>98</v>
      </c>
      <c r="H22" s="44">
        <v>15.0</v>
      </c>
      <c r="I22" s="44">
        <v>31.0</v>
      </c>
      <c r="J22" s="45">
        <v>37.0</v>
      </c>
      <c r="K22" s="44">
        <v>12.0</v>
      </c>
      <c r="L22" s="44"/>
      <c r="M22" s="44">
        <v>21.0</v>
      </c>
      <c r="N22" s="44">
        <v>7.0</v>
      </c>
      <c r="O22" s="44">
        <v>23.0</v>
      </c>
      <c r="P22" s="44">
        <v>5.0</v>
      </c>
      <c r="Q22" s="44"/>
      <c r="R22" s="44">
        <v>10.0</v>
      </c>
      <c r="S22" s="44">
        <f t="shared" si="1"/>
        <v>557</v>
      </c>
      <c r="T22" s="46">
        <f t="shared" si="2"/>
        <v>779.8</v>
      </c>
      <c r="U22" s="47">
        <v>19726.0</v>
      </c>
      <c r="V22" s="47">
        <f t="shared" si="3"/>
        <v>15382334.8</v>
      </c>
      <c r="W22" s="47"/>
      <c r="X22" s="47">
        <v>3.5E8</v>
      </c>
      <c r="Y22" s="44" t="s">
        <v>83</v>
      </c>
    </row>
    <row r="23" ht="22.5" customHeight="1">
      <c r="A23" s="43" t="s">
        <v>84</v>
      </c>
      <c r="B23" s="43">
        <v>6.0</v>
      </c>
      <c r="C23" s="44">
        <v>20.0</v>
      </c>
      <c r="D23" s="44">
        <v>7.0</v>
      </c>
      <c r="E23" s="45">
        <v>5.0</v>
      </c>
      <c r="F23" s="44">
        <f>4+5</f>
        <v>9</v>
      </c>
      <c r="G23" s="44">
        <v>10.0</v>
      </c>
      <c r="H23" s="44">
        <f>5+3</f>
        <v>8</v>
      </c>
      <c r="I23" s="44">
        <v>1.0</v>
      </c>
      <c r="J23" s="45">
        <v>16.0</v>
      </c>
      <c r="K23" s="44">
        <v>6.0</v>
      </c>
      <c r="L23" s="44">
        <v>5.0</v>
      </c>
      <c r="M23" s="44">
        <v>4.0</v>
      </c>
      <c r="N23" s="44">
        <v>5.0</v>
      </c>
      <c r="O23" s="45">
        <v>8.0</v>
      </c>
      <c r="P23" s="44"/>
      <c r="Q23" s="44">
        <v>28.0</v>
      </c>
      <c r="R23" s="44">
        <v>42.0</v>
      </c>
      <c r="S23" s="44">
        <f t="shared" si="1"/>
        <v>174</v>
      </c>
      <c r="T23" s="46">
        <f t="shared" si="2"/>
        <v>1044</v>
      </c>
      <c r="U23" s="47">
        <v>19726.0</v>
      </c>
      <c r="V23" s="47">
        <f t="shared" si="3"/>
        <v>20593944</v>
      </c>
      <c r="W23" s="47">
        <f>95*23640</f>
        <v>2245800</v>
      </c>
      <c r="X23" s="47">
        <f t="shared" ref="X23:X26" si="6">S23*W23</f>
        <v>390769200</v>
      </c>
      <c r="Y23" s="50" t="s">
        <v>85</v>
      </c>
    </row>
    <row r="24" ht="12.0" customHeight="1">
      <c r="A24" s="43" t="s">
        <v>86</v>
      </c>
      <c r="B24" s="43">
        <v>2.0</v>
      </c>
      <c r="C24" s="44">
        <f>6+8+8+20+10+17+10+10</f>
        <v>89</v>
      </c>
      <c r="D24" s="44"/>
      <c r="E24" s="45">
        <v>54.0</v>
      </c>
      <c r="F24" s="44">
        <v>33.0</v>
      </c>
      <c r="G24" s="45">
        <v>44.0</v>
      </c>
      <c r="H24" s="44">
        <f>15+7+3</f>
        <v>25</v>
      </c>
      <c r="I24" s="44">
        <v>15.0</v>
      </c>
      <c r="J24" s="45">
        <f>1+20</f>
        <v>21</v>
      </c>
      <c r="K24" s="44">
        <v>26.0</v>
      </c>
      <c r="L24" s="44">
        <v>36.0</v>
      </c>
      <c r="M24" s="45">
        <v>18.0</v>
      </c>
      <c r="N24" s="44">
        <v>8.0</v>
      </c>
      <c r="O24" s="45">
        <f>30</f>
        <v>30</v>
      </c>
      <c r="P24" s="44">
        <f>16+10</f>
        <v>26</v>
      </c>
      <c r="Q24" s="44">
        <v>88.0</v>
      </c>
      <c r="R24" s="44">
        <v>97.0</v>
      </c>
      <c r="S24" s="44">
        <f t="shared" si="1"/>
        <v>610</v>
      </c>
      <c r="T24" s="46">
        <f t="shared" si="2"/>
        <v>1220</v>
      </c>
      <c r="U24" s="47">
        <v>19726.0</v>
      </c>
      <c r="V24" s="47">
        <f t="shared" si="3"/>
        <v>24065720</v>
      </c>
      <c r="W24" s="47"/>
      <c r="X24" s="47">
        <f t="shared" si="6"/>
        <v>0</v>
      </c>
      <c r="Y24" s="44"/>
    </row>
    <row r="25" ht="12.75" customHeight="1">
      <c r="A25" s="43" t="s">
        <v>87</v>
      </c>
      <c r="B25" s="43">
        <v>30.0</v>
      </c>
      <c r="C25" s="44">
        <v>1.0</v>
      </c>
      <c r="D25" s="44"/>
      <c r="E25" s="45">
        <v>4.0</v>
      </c>
      <c r="F25" s="44">
        <v>1.0</v>
      </c>
      <c r="G25" s="44">
        <v>1.0</v>
      </c>
      <c r="H25" s="44">
        <v>1.0</v>
      </c>
      <c r="I25" s="44">
        <v>1.0</v>
      </c>
      <c r="J25" s="44"/>
      <c r="K25" s="44"/>
      <c r="L25" s="44"/>
      <c r="M25" s="44"/>
      <c r="N25" s="44"/>
      <c r="O25" s="44">
        <v>1.0</v>
      </c>
      <c r="P25" s="44">
        <v>2.0</v>
      </c>
      <c r="Q25" s="44"/>
      <c r="R25" s="44"/>
      <c r="S25" s="44">
        <f t="shared" si="1"/>
        <v>12</v>
      </c>
      <c r="T25" s="46">
        <f t="shared" si="2"/>
        <v>360</v>
      </c>
      <c r="U25" s="47">
        <v>19726.0</v>
      </c>
      <c r="V25" s="47">
        <f t="shared" si="3"/>
        <v>7101360</v>
      </c>
      <c r="W25" s="47"/>
      <c r="X25" s="47">
        <f t="shared" si="6"/>
        <v>0</v>
      </c>
      <c r="Y25" s="44"/>
    </row>
    <row r="26" ht="12.75" customHeight="1">
      <c r="A26" s="43" t="s">
        <v>88</v>
      </c>
      <c r="B26" s="43">
        <v>10.0</v>
      </c>
      <c r="C26" s="44">
        <v>2.0</v>
      </c>
      <c r="D26" s="44">
        <v>1.0</v>
      </c>
      <c r="E26" s="44"/>
      <c r="F26" s="44"/>
      <c r="G26" s="44">
        <v>1.0</v>
      </c>
      <c r="H26" s="44"/>
      <c r="I26" s="44">
        <v>2.0</v>
      </c>
      <c r="J26" s="45"/>
      <c r="K26" s="44"/>
      <c r="L26" s="44"/>
      <c r="M26" s="44"/>
      <c r="N26" s="44"/>
      <c r="O26" s="44">
        <v>5.0</v>
      </c>
      <c r="P26" s="44"/>
      <c r="Q26" s="44"/>
      <c r="R26" s="44"/>
      <c r="S26" s="44">
        <f t="shared" si="1"/>
        <v>11</v>
      </c>
      <c r="T26" s="46">
        <f t="shared" si="2"/>
        <v>110</v>
      </c>
      <c r="U26" s="47">
        <v>19726.0</v>
      </c>
      <c r="V26" s="47">
        <f t="shared" si="3"/>
        <v>2169860</v>
      </c>
      <c r="W26" s="47"/>
      <c r="X26" s="47">
        <f t="shared" si="6"/>
        <v>0</v>
      </c>
      <c r="Y26" s="44"/>
    </row>
    <row r="27" ht="12.75" customHeight="1">
      <c r="A27" s="43"/>
      <c r="B27" s="43"/>
      <c r="C27" s="51">
        <f>SUM(C6:C26)</f>
        <v>352</v>
      </c>
      <c r="D27" s="51">
        <f>SUM(D5:D26)</f>
        <v>30</v>
      </c>
      <c r="E27" s="51">
        <f>11+2+3+16+6+E16+E18+E19+E22+E23+E24+E25</f>
        <v>244</v>
      </c>
      <c r="F27" s="51">
        <f>6+3+4+3+F16+F18+F20+F21+F22+F23+F24+F25</f>
        <v>179</v>
      </c>
      <c r="G27" s="51">
        <f>2+4+G12+2+3+G18+G19+G20+G22+G23+G25+G26+G19+G24+G7</f>
        <v>218</v>
      </c>
      <c r="H27" s="51">
        <f>SUM(H5:H26)</f>
        <v>78</v>
      </c>
      <c r="I27" s="51">
        <f>I9+I12+4+3+I17+I20+I22+I23+I24+I25+I26</f>
        <v>95</v>
      </c>
      <c r="J27" s="51">
        <f t="shared" ref="J27:L27" si="7">SUM(J5:J26)</f>
        <v>114</v>
      </c>
      <c r="K27" s="44">
        <f t="shared" si="7"/>
        <v>108</v>
      </c>
      <c r="L27" s="51">
        <f t="shared" si="7"/>
        <v>149</v>
      </c>
      <c r="M27" s="44">
        <f t="shared" ref="M27:P27" si="8">SUM(M7:M26)</f>
        <v>104</v>
      </c>
      <c r="N27" s="44">
        <f t="shared" si="8"/>
        <v>45</v>
      </c>
      <c r="O27" s="44">
        <f t="shared" si="8"/>
        <v>115</v>
      </c>
      <c r="P27" s="44">
        <f t="shared" si="8"/>
        <v>72</v>
      </c>
      <c r="Q27" s="44">
        <f t="shared" ref="Q27:R27" si="9">SUM(Q5:Q26)</f>
        <v>290</v>
      </c>
      <c r="R27" s="44">
        <f t="shared" si="9"/>
        <v>367</v>
      </c>
      <c r="S27" s="51">
        <f t="shared" ref="S27:T27" si="10">SUM(S6:S26)</f>
        <v>2535</v>
      </c>
      <c r="T27" s="52">
        <f t="shared" si="10"/>
        <v>37683.32</v>
      </c>
      <c r="U27" s="44"/>
      <c r="V27" s="53">
        <f>SUM(V6:V26)</f>
        <v>743341170.3</v>
      </c>
      <c r="W27" s="44"/>
      <c r="X27" s="53">
        <f>SUM(X6:X26)</f>
        <v>3069825280</v>
      </c>
      <c r="Y27" s="44"/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2:X2"/>
    <mergeCell ref="A3:X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8.5"/>
    <col customWidth="1" min="3" max="3" width="8.0"/>
    <col customWidth="1" min="4" max="4" width="8.25"/>
    <col customWidth="1" min="5" max="5" width="18.0"/>
    <col customWidth="1" min="6" max="6" width="12.25"/>
    <col customWidth="1" min="7" max="7" width="16.25"/>
    <col customWidth="1" min="8" max="8" width="17.75"/>
    <col customWidth="1" min="9" max="9" width="19.25"/>
    <col customWidth="1" min="10" max="26" width="8.0"/>
  </cols>
  <sheetData>
    <row r="1" ht="16.5" customHeight="1">
      <c r="A1" s="54" t="s">
        <v>0</v>
      </c>
      <c r="B1" s="54"/>
      <c r="C1" s="54"/>
      <c r="D1" s="1" t="s">
        <v>1</v>
      </c>
    </row>
    <row r="2" ht="18.0" customHeight="1">
      <c r="A2" s="1" t="s">
        <v>2</v>
      </c>
      <c r="D2" s="1" t="s">
        <v>3</v>
      </c>
    </row>
    <row r="3" ht="12.0" customHeight="1">
      <c r="A3" s="3"/>
      <c r="B3" s="55" t="s">
        <v>89</v>
      </c>
    </row>
    <row r="4" ht="15.0" customHeight="1">
      <c r="A4" s="3"/>
      <c r="B4" s="10" t="s">
        <v>90</v>
      </c>
      <c r="D4" s="1"/>
      <c r="E4" s="56"/>
      <c r="F4" s="10" t="s">
        <v>91</v>
      </c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57" t="s">
        <v>8</v>
      </c>
      <c r="B5" s="57" t="s">
        <v>92</v>
      </c>
      <c r="C5" s="57" t="s">
        <v>93</v>
      </c>
      <c r="D5" s="57" t="s">
        <v>94</v>
      </c>
      <c r="E5" s="57" t="s">
        <v>95</v>
      </c>
      <c r="F5" s="57" t="s">
        <v>96</v>
      </c>
      <c r="G5" s="57" t="s">
        <v>97</v>
      </c>
      <c r="H5" s="57" t="s">
        <v>98</v>
      </c>
      <c r="I5" s="57" t="s">
        <v>58</v>
      </c>
    </row>
    <row r="6" ht="26.25" hidden="1" customHeight="1">
      <c r="A6" s="58">
        <v>1.0</v>
      </c>
      <c r="B6" s="43" t="s">
        <v>61</v>
      </c>
      <c r="C6" s="59" t="s">
        <v>99</v>
      </c>
      <c r="D6" s="60" t="str">
        <f>'chi tiet xe'!O6</f>
        <v/>
      </c>
      <c r="E6" s="43">
        <f>236.52</f>
        <v>236.52</v>
      </c>
      <c r="F6" s="61">
        <f t="shared" ref="F6:F8" si="1">D6*E6</f>
        <v>0</v>
      </c>
      <c r="G6" s="61">
        <v>18454.55</v>
      </c>
      <c r="H6" s="60">
        <f t="shared" ref="H6:H26" si="2">F6*G6</f>
        <v>0</v>
      </c>
      <c r="I6" s="62" t="s">
        <v>100</v>
      </c>
    </row>
    <row r="7" ht="27.75" hidden="1" customHeight="1">
      <c r="A7" s="58">
        <v>2.0</v>
      </c>
      <c r="B7" s="43" t="s">
        <v>62</v>
      </c>
      <c r="C7" s="59" t="s">
        <v>99</v>
      </c>
      <c r="D7" s="60" t="str">
        <f>'chi tiet xe'!O7</f>
        <v/>
      </c>
      <c r="E7" s="43">
        <v>68.0</v>
      </c>
      <c r="F7" s="61">
        <f t="shared" si="1"/>
        <v>0</v>
      </c>
      <c r="G7" s="61">
        <v>18454.55</v>
      </c>
      <c r="H7" s="60">
        <f t="shared" si="2"/>
        <v>0</v>
      </c>
      <c r="I7" s="62" t="s">
        <v>100</v>
      </c>
    </row>
    <row r="8" ht="25.5" hidden="1" customHeight="1">
      <c r="A8" s="58">
        <v>3.0</v>
      </c>
      <c r="B8" s="43" t="s">
        <v>63</v>
      </c>
      <c r="C8" s="59" t="s">
        <v>99</v>
      </c>
      <c r="D8" s="60" t="str">
        <f>'chi tiet xe'!O8</f>
        <v/>
      </c>
      <c r="E8" s="43">
        <v>259.2</v>
      </c>
      <c r="F8" s="61">
        <f t="shared" si="1"/>
        <v>0</v>
      </c>
      <c r="G8" s="61">
        <v>18454.55</v>
      </c>
      <c r="H8" s="60">
        <f t="shared" si="2"/>
        <v>0</v>
      </c>
      <c r="I8" s="62"/>
    </row>
    <row r="9" ht="30.0" customHeight="1">
      <c r="A9" s="58">
        <v>1.0</v>
      </c>
      <c r="B9" s="43" t="s">
        <v>64</v>
      </c>
      <c r="C9" s="59" t="s">
        <v>101</v>
      </c>
      <c r="D9" s="60">
        <f>'chi tiet xe'!O9</f>
        <v>1</v>
      </c>
      <c r="E9" s="43">
        <v>310.0</v>
      </c>
      <c r="F9" s="61">
        <f>D9*E9+15</f>
        <v>325</v>
      </c>
      <c r="G9" s="61">
        <v>18454.55</v>
      </c>
      <c r="H9" s="60">
        <f t="shared" si="2"/>
        <v>5997728.75</v>
      </c>
      <c r="I9" s="62" t="s">
        <v>100</v>
      </c>
    </row>
    <row r="10" ht="26.25" customHeight="1">
      <c r="A10" s="58">
        <v>2.0</v>
      </c>
      <c r="B10" s="43" t="s">
        <v>65</v>
      </c>
      <c r="C10" s="59" t="s">
        <v>99</v>
      </c>
      <c r="D10" s="60">
        <f>'chi tiet xe'!O10</f>
        <v>4</v>
      </c>
      <c r="E10" s="43">
        <v>62.0</v>
      </c>
      <c r="F10" s="61">
        <f t="shared" ref="F10:F26" si="3">D10*E10</f>
        <v>248</v>
      </c>
      <c r="G10" s="61">
        <v>18454.55</v>
      </c>
      <c r="H10" s="60">
        <f t="shared" si="2"/>
        <v>4576728.4</v>
      </c>
      <c r="I10" s="62"/>
    </row>
    <row r="11" ht="27.0" customHeight="1">
      <c r="A11" s="58">
        <v>3.0</v>
      </c>
      <c r="B11" s="43" t="s">
        <v>66</v>
      </c>
      <c r="C11" s="59" t="s">
        <v>102</v>
      </c>
      <c r="D11" s="60">
        <f>'chi tiet xe'!O11</f>
        <v>1</v>
      </c>
      <c r="E11" s="43">
        <v>124.0</v>
      </c>
      <c r="F11" s="61">
        <f t="shared" si="3"/>
        <v>124</v>
      </c>
      <c r="G11" s="61">
        <v>18454.55</v>
      </c>
      <c r="H11" s="60">
        <f t="shared" si="2"/>
        <v>2288364.2</v>
      </c>
      <c r="I11" s="62"/>
    </row>
    <row r="12" ht="24.75" customHeight="1">
      <c r="A12" s="58">
        <v>4.0</v>
      </c>
      <c r="B12" s="48" t="s">
        <v>67</v>
      </c>
      <c r="C12" s="59" t="s">
        <v>99</v>
      </c>
      <c r="D12" s="60">
        <f>'chi tiet xe'!O12</f>
        <v>1</v>
      </c>
      <c r="E12" s="48">
        <v>27.0</v>
      </c>
      <c r="F12" s="61">
        <f t="shared" si="3"/>
        <v>27</v>
      </c>
      <c r="G12" s="61">
        <v>18454.55</v>
      </c>
      <c r="H12" s="60">
        <f t="shared" si="2"/>
        <v>498272.85</v>
      </c>
      <c r="I12" s="58"/>
    </row>
    <row r="13" ht="26.25" customHeight="1">
      <c r="A13" s="58">
        <v>5.0</v>
      </c>
      <c r="B13" s="43" t="s">
        <v>68</v>
      </c>
      <c r="C13" s="59" t="s">
        <v>103</v>
      </c>
      <c r="D13" s="60">
        <f>'chi tiet xe'!O13</f>
        <v>3</v>
      </c>
      <c r="E13" s="43">
        <v>50.0</v>
      </c>
      <c r="F13" s="61">
        <f t="shared" si="3"/>
        <v>150</v>
      </c>
      <c r="G13" s="61">
        <v>18454.55</v>
      </c>
      <c r="H13" s="60">
        <f t="shared" si="2"/>
        <v>2768182.5</v>
      </c>
      <c r="I13" s="58"/>
    </row>
    <row r="14" ht="26.25" hidden="1" customHeight="1">
      <c r="A14" s="58">
        <v>8.0</v>
      </c>
      <c r="B14" s="43" t="s">
        <v>69</v>
      </c>
      <c r="C14" s="59" t="s">
        <v>104</v>
      </c>
      <c r="D14" s="60" t="str">
        <f>'chi tiet xe'!O14</f>
        <v/>
      </c>
      <c r="E14" s="43">
        <v>75.0</v>
      </c>
      <c r="F14" s="61">
        <f t="shared" si="3"/>
        <v>0</v>
      </c>
      <c r="G14" s="61">
        <v>18454.55</v>
      </c>
      <c r="H14" s="60">
        <f t="shared" si="2"/>
        <v>0</v>
      </c>
      <c r="I14" s="60"/>
    </row>
    <row r="15" ht="26.25" hidden="1" customHeight="1">
      <c r="A15" s="58">
        <v>9.0</v>
      </c>
      <c r="B15" s="43" t="s">
        <v>70</v>
      </c>
      <c r="C15" s="59" t="s">
        <v>99</v>
      </c>
      <c r="D15" s="60" t="str">
        <f>'chi tiet xe'!O15</f>
        <v/>
      </c>
      <c r="E15" s="43">
        <v>29.0</v>
      </c>
      <c r="F15" s="61">
        <f t="shared" si="3"/>
        <v>0</v>
      </c>
      <c r="G15" s="61">
        <v>18454.55</v>
      </c>
      <c r="H15" s="60">
        <f t="shared" si="2"/>
        <v>0</v>
      </c>
      <c r="I15" s="60"/>
    </row>
    <row r="16" ht="24.0" customHeight="1">
      <c r="A16" s="58">
        <v>6.0</v>
      </c>
      <c r="B16" s="43" t="s">
        <v>71</v>
      </c>
      <c r="C16" s="59" t="s">
        <v>99</v>
      </c>
      <c r="D16" s="60">
        <f>'chi tiet xe'!O16</f>
        <v>30</v>
      </c>
      <c r="E16" s="43">
        <v>7.5</v>
      </c>
      <c r="F16" s="61">
        <f t="shared" si="3"/>
        <v>225</v>
      </c>
      <c r="G16" s="61">
        <v>18454.55</v>
      </c>
      <c r="H16" s="60">
        <f t="shared" si="2"/>
        <v>4152273.75</v>
      </c>
      <c r="I16" s="60"/>
    </row>
    <row r="17" ht="29.25" hidden="1" customHeight="1">
      <c r="A17" s="58">
        <v>6.0</v>
      </c>
      <c r="B17" s="43" t="s">
        <v>73</v>
      </c>
      <c r="C17" s="59" t="s">
        <v>99</v>
      </c>
      <c r="D17" s="60" t="str">
        <f>'chi tiet xe'!O17</f>
        <v/>
      </c>
      <c r="E17" s="43">
        <v>7.5</v>
      </c>
      <c r="F17" s="61">
        <f t="shared" si="3"/>
        <v>0</v>
      </c>
      <c r="G17" s="61">
        <v>18454.55</v>
      </c>
      <c r="H17" s="60">
        <f t="shared" si="2"/>
        <v>0</v>
      </c>
      <c r="I17" s="60"/>
    </row>
    <row r="18" ht="24.0" customHeight="1">
      <c r="A18" s="58">
        <v>7.0</v>
      </c>
      <c r="B18" s="43" t="s">
        <v>75</v>
      </c>
      <c r="C18" s="59" t="s">
        <v>99</v>
      </c>
      <c r="D18" s="60">
        <f>'chi tiet xe'!O18</f>
        <v>3</v>
      </c>
      <c r="E18" s="43">
        <v>7.5</v>
      </c>
      <c r="F18" s="61">
        <f t="shared" si="3"/>
        <v>22.5</v>
      </c>
      <c r="G18" s="61">
        <v>18454.55</v>
      </c>
      <c r="H18" s="60">
        <f t="shared" si="2"/>
        <v>415227.375</v>
      </c>
      <c r="I18" s="60"/>
    </row>
    <row r="19" ht="26.25" hidden="1" customHeight="1">
      <c r="A19" s="58">
        <v>8.0</v>
      </c>
      <c r="B19" s="43" t="s">
        <v>77</v>
      </c>
      <c r="C19" s="59" t="s">
        <v>99</v>
      </c>
      <c r="D19" s="60" t="str">
        <f>'chi tiet xe'!O19</f>
        <v/>
      </c>
      <c r="E19" s="43">
        <v>6.0</v>
      </c>
      <c r="F19" s="61">
        <f t="shared" si="3"/>
        <v>0</v>
      </c>
      <c r="G19" s="61">
        <v>18454.55</v>
      </c>
      <c r="H19" s="60">
        <f t="shared" si="2"/>
        <v>0</v>
      </c>
      <c r="I19" s="60"/>
    </row>
    <row r="20" ht="24.75" customHeight="1">
      <c r="A20" s="58">
        <v>8.0</v>
      </c>
      <c r="B20" s="43" t="s">
        <v>79</v>
      </c>
      <c r="C20" s="59" t="s">
        <v>99</v>
      </c>
      <c r="D20" s="60">
        <f>'chi tiet xe'!O20</f>
        <v>5</v>
      </c>
      <c r="E20" s="43">
        <v>6.0</v>
      </c>
      <c r="F20" s="61">
        <f t="shared" si="3"/>
        <v>30</v>
      </c>
      <c r="G20" s="61">
        <v>18454.55</v>
      </c>
      <c r="H20" s="60">
        <f t="shared" si="2"/>
        <v>553636.5</v>
      </c>
      <c r="I20" s="60"/>
    </row>
    <row r="21" ht="15.0" hidden="1" customHeight="1">
      <c r="A21" s="58">
        <v>13.0</v>
      </c>
      <c r="B21" s="43" t="s">
        <v>81</v>
      </c>
      <c r="C21" s="59" t="s">
        <v>99</v>
      </c>
      <c r="D21" s="60" t="str">
        <f>'chi tiet xe'!O21</f>
        <v/>
      </c>
      <c r="E21" s="43">
        <v>6.0</v>
      </c>
      <c r="F21" s="61">
        <f t="shared" si="3"/>
        <v>0</v>
      </c>
      <c r="G21" s="61">
        <v>18454.55</v>
      </c>
      <c r="H21" s="60">
        <f t="shared" si="2"/>
        <v>0</v>
      </c>
      <c r="I21" s="60"/>
    </row>
    <row r="22" ht="16.5" customHeight="1">
      <c r="A22" s="58">
        <v>9.0</v>
      </c>
      <c r="B22" s="43" t="s">
        <v>82</v>
      </c>
      <c r="C22" s="59" t="s">
        <v>99</v>
      </c>
      <c r="D22" s="60">
        <f>'chi tiet xe'!O22</f>
        <v>23</v>
      </c>
      <c r="E22" s="43">
        <v>1.4</v>
      </c>
      <c r="F22" s="61">
        <f t="shared" si="3"/>
        <v>32.2</v>
      </c>
      <c r="G22" s="61">
        <v>18454.55</v>
      </c>
      <c r="H22" s="60">
        <f t="shared" si="2"/>
        <v>594236.51</v>
      </c>
      <c r="I22" s="60"/>
    </row>
    <row r="23" ht="15.0" customHeight="1">
      <c r="A23" s="58">
        <v>10.0</v>
      </c>
      <c r="B23" s="43" t="s">
        <v>84</v>
      </c>
      <c r="C23" s="59" t="s">
        <v>99</v>
      </c>
      <c r="D23" s="60">
        <f>'chi tiet xe'!O23</f>
        <v>8</v>
      </c>
      <c r="E23" s="43">
        <v>6.0</v>
      </c>
      <c r="F23" s="61">
        <f t="shared" si="3"/>
        <v>48</v>
      </c>
      <c r="G23" s="61">
        <v>18454.55</v>
      </c>
      <c r="H23" s="60">
        <f t="shared" si="2"/>
        <v>885818.4</v>
      </c>
      <c r="I23" s="60"/>
    </row>
    <row r="24" ht="15.0" customHeight="1">
      <c r="A24" s="58">
        <v>11.0</v>
      </c>
      <c r="B24" s="43" t="s">
        <v>86</v>
      </c>
      <c r="C24" s="59" t="s">
        <v>99</v>
      </c>
      <c r="D24" s="60">
        <f>'chi tiet xe'!O24</f>
        <v>30</v>
      </c>
      <c r="E24" s="43">
        <v>2.0</v>
      </c>
      <c r="F24" s="61">
        <f t="shared" si="3"/>
        <v>60</v>
      </c>
      <c r="G24" s="61">
        <v>18454.55</v>
      </c>
      <c r="H24" s="60">
        <f t="shared" si="2"/>
        <v>1107273</v>
      </c>
      <c r="I24" s="60"/>
    </row>
    <row r="25" ht="15.0" customHeight="1">
      <c r="A25" s="58">
        <v>12.0</v>
      </c>
      <c r="B25" s="43" t="s">
        <v>87</v>
      </c>
      <c r="C25" s="59" t="s">
        <v>99</v>
      </c>
      <c r="D25" s="60">
        <f>'chi tiet xe'!O25</f>
        <v>1</v>
      </c>
      <c r="E25" s="43">
        <v>30.0</v>
      </c>
      <c r="F25" s="61">
        <f t="shared" si="3"/>
        <v>30</v>
      </c>
      <c r="G25" s="61">
        <v>18454.55</v>
      </c>
      <c r="H25" s="60">
        <f t="shared" si="2"/>
        <v>553636.5</v>
      </c>
      <c r="I25" s="60"/>
    </row>
    <row r="26" ht="15.75" customHeight="1">
      <c r="A26" s="58">
        <v>13.0</v>
      </c>
      <c r="B26" s="43" t="s">
        <v>88</v>
      </c>
      <c r="C26" s="59" t="s">
        <v>99</v>
      </c>
      <c r="D26" s="60">
        <f>'chi tiet xe'!O26</f>
        <v>5</v>
      </c>
      <c r="E26" s="43">
        <v>10.0</v>
      </c>
      <c r="F26" s="61">
        <f t="shared" si="3"/>
        <v>50</v>
      </c>
      <c r="G26" s="61">
        <v>18454.55</v>
      </c>
      <c r="H26" s="60">
        <f t="shared" si="2"/>
        <v>922727.5</v>
      </c>
      <c r="I26" s="60"/>
    </row>
    <row r="27" ht="15.0" customHeight="1">
      <c r="A27" s="58"/>
      <c r="B27" s="63" t="s">
        <v>105</v>
      </c>
      <c r="C27" s="64"/>
      <c r="D27" s="65">
        <f>SUM(D6:D26)</f>
        <v>115</v>
      </c>
      <c r="E27" s="66"/>
      <c r="F27" s="67">
        <f>SUM(F6:F26)</f>
        <v>1371.7</v>
      </c>
      <c r="G27" s="60"/>
      <c r="H27" s="65">
        <f>SUM(H6:H26)</f>
        <v>25314106.24</v>
      </c>
      <c r="I27" s="65">
        <f>SUM(I6:I15)</f>
        <v>0</v>
      </c>
    </row>
    <row r="28" ht="12.0" customHeight="1">
      <c r="A28" s="58"/>
      <c r="B28" s="63" t="s">
        <v>106</v>
      </c>
      <c r="C28" s="64"/>
      <c r="D28" s="68"/>
      <c r="E28" s="68"/>
      <c r="F28" s="69" t="str">
        <f>'[1]11202'!$F$28</f>
        <v>#REF!</v>
      </c>
      <c r="G28" s="60"/>
      <c r="H28" s="65"/>
      <c r="I28" s="65"/>
    </row>
    <row r="29" ht="11.25" customHeight="1">
      <c r="A29" s="58"/>
      <c r="B29" s="63" t="s">
        <v>107</v>
      </c>
      <c r="C29" s="64"/>
      <c r="D29" s="68"/>
      <c r="E29" s="68"/>
      <c r="F29" s="70">
        <v>1300.0</v>
      </c>
      <c r="G29" s="65"/>
      <c r="H29" s="65"/>
      <c r="I29" s="65"/>
      <c r="J29" s="71"/>
    </row>
    <row r="30" ht="12.75" customHeight="1">
      <c r="A30" s="58"/>
      <c r="B30" s="63" t="s">
        <v>108</v>
      </c>
      <c r="C30" s="64"/>
      <c r="D30" s="68"/>
      <c r="E30" s="68"/>
      <c r="F30" s="70" t="str">
        <f>F29+F28-F27</f>
        <v>#REF!</v>
      </c>
      <c r="G30" s="65"/>
      <c r="H30" s="65"/>
      <c r="I30" s="65"/>
    </row>
    <row r="31" ht="12.75" customHeight="1">
      <c r="A31" s="72"/>
      <c r="B31" s="72"/>
      <c r="C31" s="72"/>
      <c r="D31" s="72"/>
      <c r="E31" s="73"/>
      <c r="F31" s="74" t="s">
        <v>109</v>
      </c>
      <c r="G31" s="75"/>
      <c r="H31" s="75"/>
      <c r="I31" s="75"/>
    </row>
    <row r="32" ht="15.0" customHeight="1">
      <c r="A32" s="76"/>
      <c r="B32" s="76" t="s">
        <v>110</v>
      </c>
      <c r="C32" s="77" t="s">
        <v>111</v>
      </c>
      <c r="E32" s="77" t="s">
        <v>112</v>
      </c>
      <c r="F32" s="77" t="s">
        <v>113</v>
      </c>
      <c r="H32" s="77" t="s">
        <v>114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2.75" customHeight="1"/>
    <row r="34" ht="12.75" customHeight="1"/>
    <row r="35" ht="12.75" customHeight="1"/>
    <row r="36" ht="12.75" customHeight="1">
      <c r="I36" s="78" t="s">
        <v>115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9:C29"/>
    <mergeCell ref="B30:C30"/>
    <mergeCell ref="F31:I31"/>
    <mergeCell ref="C32:D32"/>
    <mergeCell ref="F32:G32"/>
    <mergeCell ref="D1:I1"/>
    <mergeCell ref="A2:C2"/>
    <mergeCell ref="D2:I2"/>
    <mergeCell ref="B3:I3"/>
    <mergeCell ref="B4:C4"/>
    <mergeCell ref="B27:C27"/>
    <mergeCell ref="B28:C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9.5"/>
    <col customWidth="1" min="3" max="3" width="12.25"/>
    <col customWidth="1" min="4" max="4" width="8.0"/>
    <col customWidth="1" min="5" max="5" width="18.25"/>
    <col customWidth="1" min="6" max="6" width="13.5"/>
    <col customWidth="1" min="7" max="7" width="17.0"/>
    <col customWidth="1" min="8" max="8" width="14.75"/>
    <col customWidth="1" min="9" max="9" width="15.75"/>
    <col customWidth="1" min="10" max="26" width="8.0"/>
  </cols>
  <sheetData>
    <row r="1" ht="15.0" customHeight="1">
      <c r="A1" s="1" t="s">
        <v>0</v>
      </c>
      <c r="D1" s="1" t="s">
        <v>1</v>
      </c>
    </row>
    <row r="2" ht="15.0" customHeight="1">
      <c r="A2" s="1" t="s">
        <v>2</v>
      </c>
      <c r="D2" s="1" t="s">
        <v>3</v>
      </c>
    </row>
    <row r="3" ht="17.25" customHeight="1">
      <c r="A3" s="3"/>
      <c r="B3" s="55" t="s">
        <v>89</v>
      </c>
    </row>
    <row r="4" ht="15.0" customHeight="1">
      <c r="A4" s="2" t="s">
        <v>116</v>
      </c>
      <c r="B4" s="10"/>
      <c r="C4" s="1"/>
      <c r="D4" s="56"/>
      <c r="E4" s="10" t="s">
        <v>117</v>
      </c>
      <c r="F4" s="1"/>
      <c r="G4" s="1"/>
      <c r="H4" s="1"/>
      <c r="I4" s="1"/>
    </row>
    <row r="5" ht="15.0" customHeight="1">
      <c r="A5" s="57" t="s">
        <v>8</v>
      </c>
      <c r="B5" s="57" t="s">
        <v>92</v>
      </c>
      <c r="C5" s="57" t="s">
        <v>93</v>
      </c>
      <c r="D5" s="57" t="s">
        <v>94</v>
      </c>
      <c r="E5" s="57" t="s">
        <v>95</v>
      </c>
      <c r="F5" s="57" t="s">
        <v>96</v>
      </c>
      <c r="G5" s="57" t="s">
        <v>97</v>
      </c>
      <c r="H5" s="57" t="s">
        <v>98</v>
      </c>
      <c r="I5" s="57" t="s">
        <v>118</v>
      </c>
    </row>
    <row r="6" ht="26.25" customHeight="1">
      <c r="A6" s="58">
        <v>1.0</v>
      </c>
      <c r="B6" s="43" t="s">
        <v>61</v>
      </c>
      <c r="C6" s="59" t="s">
        <v>119</v>
      </c>
      <c r="D6" s="60" t="str">
        <f>'chi tiet xe'!D6</f>
        <v/>
      </c>
      <c r="E6" s="79">
        <f>236.52+15</f>
        <v>251.52</v>
      </c>
      <c r="F6" s="61">
        <f t="shared" ref="F6:F22" si="1">D6*E6</f>
        <v>0</v>
      </c>
      <c r="G6" s="61">
        <v>20472.0</v>
      </c>
      <c r="H6" s="60">
        <f t="shared" ref="H6:H22" si="2">F6*G6</f>
        <v>0</v>
      </c>
      <c r="I6" s="62"/>
    </row>
    <row r="7" ht="26.25" customHeight="1">
      <c r="A7" s="58">
        <v>2.0</v>
      </c>
      <c r="B7" s="43" t="s">
        <v>64</v>
      </c>
      <c r="C7" s="59" t="s">
        <v>119</v>
      </c>
      <c r="D7" s="60">
        <f>'chi tiet xe'!D9</f>
        <v>2</v>
      </c>
      <c r="E7" s="79">
        <f>310+15</f>
        <v>325</v>
      </c>
      <c r="F7" s="61">
        <f t="shared" si="1"/>
        <v>650</v>
      </c>
      <c r="G7" s="61">
        <v>20472.0</v>
      </c>
      <c r="H7" s="60">
        <f t="shared" si="2"/>
        <v>13306800</v>
      </c>
      <c r="I7" s="58"/>
    </row>
    <row r="8" ht="30.0" customHeight="1">
      <c r="A8" s="58">
        <v>3.0</v>
      </c>
      <c r="B8" s="43" t="s">
        <v>65</v>
      </c>
      <c r="C8" s="59" t="s">
        <v>119</v>
      </c>
      <c r="D8" s="60" t="str">
        <f>'chi tiet xe'!D10</f>
        <v/>
      </c>
      <c r="E8" s="79">
        <v>62.0</v>
      </c>
      <c r="F8" s="61">
        <f t="shared" si="1"/>
        <v>0</v>
      </c>
      <c r="G8" s="61">
        <v>20472.0</v>
      </c>
      <c r="H8" s="60">
        <f t="shared" si="2"/>
        <v>0</v>
      </c>
      <c r="I8" s="62"/>
    </row>
    <row r="9" ht="27.75" hidden="1" customHeight="1">
      <c r="A9" s="58">
        <v>4.0</v>
      </c>
      <c r="B9" s="43" t="s">
        <v>66</v>
      </c>
      <c r="C9" s="59" t="s">
        <v>120</v>
      </c>
      <c r="D9" s="60" t="str">
        <f>'chi tiet xe'!D11</f>
        <v/>
      </c>
      <c r="E9" s="79">
        <v>124.0</v>
      </c>
      <c r="F9" s="61">
        <f t="shared" si="1"/>
        <v>0</v>
      </c>
      <c r="G9" s="61">
        <v>20472.0</v>
      </c>
      <c r="H9" s="60">
        <f t="shared" si="2"/>
        <v>0</v>
      </c>
      <c r="I9" s="62"/>
    </row>
    <row r="10" ht="31.5" hidden="1" customHeight="1">
      <c r="A10" s="58">
        <v>6.0</v>
      </c>
      <c r="B10" s="48" t="s">
        <v>67</v>
      </c>
      <c r="C10" s="59" t="s">
        <v>99</v>
      </c>
      <c r="D10" s="60" t="str">
        <f>'chi tiet xe'!D12</f>
        <v/>
      </c>
      <c r="E10" s="79"/>
      <c r="F10" s="61">
        <f t="shared" si="1"/>
        <v>0</v>
      </c>
      <c r="G10" s="61">
        <v>20472.0</v>
      </c>
      <c r="H10" s="60">
        <f t="shared" si="2"/>
        <v>0</v>
      </c>
      <c r="I10" s="62"/>
    </row>
    <row r="11" ht="28.5" hidden="1" customHeight="1">
      <c r="A11" s="58">
        <v>7.0</v>
      </c>
      <c r="B11" s="43" t="s">
        <v>68</v>
      </c>
      <c r="C11" s="59" t="s">
        <v>121</v>
      </c>
      <c r="D11" s="60" t="str">
        <f>'chi tiet xe'!D13</f>
        <v/>
      </c>
      <c r="E11" s="79"/>
      <c r="F11" s="61">
        <f t="shared" si="1"/>
        <v>0</v>
      </c>
      <c r="G11" s="61">
        <v>20472.0</v>
      </c>
      <c r="H11" s="60">
        <f t="shared" si="2"/>
        <v>0</v>
      </c>
      <c r="I11" s="62"/>
    </row>
    <row r="12" ht="29.25" hidden="1" customHeight="1">
      <c r="A12" s="58">
        <v>8.0</v>
      </c>
      <c r="B12" s="43" t="s">
        <v>69</v>
      </c>
      <c r="C12" s="58" t="s">
        <v>122</v>
      </c>
      <c r="D12" s="60" t="str">
        <f>'chi tiet xe'!D14</f>
        <v/>
      </c>
      <c r="E12" s="80"/>
      <c r="F12" s="61">
        <f t="shared" si="1"/>
        <v>0</v>
      </c>
      <c r="G12" s="61">
        <v>20472.0</v>
      </c>
      <c r="H12" s="60">
        <f t="shared" si="2"/>
        <v>0</v>
      </c>
      <c r="I12" s="58"/>
    </row>
    <row r="13" ht="29.25" hidden="1" customHeight="1">
      <c r="A13" s="58">
        <v>5.0</v>
      </c>
      <c r="B13" s="43" t="s">
        <v>71</v>
      </c>
      <c r="C13" s="59" t="s">
        <v>119</v>
      </c>
      <c r="D13" s="60">
        <f>'chi tiet xe'!D16</f>
        <v>9</v>
      </c>
      <c r="E13" s="81">
        <v>7.5</v>
      </c>
      <c r="F13" s="61">
        <f t="shared" si="1"/>
        <v>67.5</v>
      </c>
      <c r="G13" s="61">
        <v>20472.0</v>
      </c>
      <c r="H13" s="60">
        <f t="shared" si="2"/>
        <v>1381860</v>
      </c>
      <c r="I13" s="58"/>
    </row>
    <row r="14" ht="29.25" customHeight="1">
      <c r="A14" s="58">
        <v>4.0</v>
      </c>
      <c r="B14" s="43" t="s">
        <v>73</v>
      </c>
      <c r="C14" s="59" t="s">
        <v>119</v>
      </c>
      <c r="D14" s="60" t="str">
        <f>'chi tiet xe'!D17</f>
        <v/>
      </c>
      <c r="E14" s="80">
        <v>7.5</v>
      </c>
      <c r="F14" s="61">
        <f t="shared" si="1"/>
        <v>0</v>
      </c>
      <c r="G14" s="61">
        <v>20472.0</v>
      </c>
      <c r="H14" s="60">
        <f t="shared" si="2"/>
        <v>0</v>
      </c>
      <c r="I14" s="60"/>
    </row>
    <row r="15" ht="25.5" customHeight="1">
      <c r="A15" s="58">
        <v>5.0</v>
      </c>
      <c r="B15" s="43" t="s">
        <v>75</v>
      </c>
      <c r="C15" s="59" t="s">
        <v>119</v>
      </c>
      <c r="D15" s="60">
        <f>'chi tiet xe'!D18</f>
        <v>5</v>
      </c>
      <c r="E15" s="80">
        <v>7.5</v>
      </c>
      <c r="F15" s="61">
        <f t="shared" si="1"/>
        <v>37.5</v>
      </c>
      <c r="G15" s="61">
        <v>20472.0</v>
      </c>
      <c r="H15" s="60">
        <f t="shared" si="2"/>
        <v>767700</v>
      </c>
      <c r="I15" s="60"/>
    </row>
    <row r="16" ht="26.25" customHeight="1">
      <c r="A16" s="58">
        <v>6.0</v>
      </c>
      <c r="B16" s="43" t="s">
        <v>77</v>
      </c>
      <c r="C16" s="59" t="s">
        <v>119</v>
      </c>
      <c r="D16" s="60">
        <f>'chi tiet xe'!D19</f>
        <v>6</v>
      </c>
      <c r="E16" s="80">
        <v>6.0</v>
      </c>
      <c r="F16" s="61">
        <f t="shared" si="1"/>
        <v>36</v>
      </c>
      <c r="G16" s="61">
        <v>20472.0</v>
      </c>
      <c r="H16" s="60">
        <f t="shared" si="2"/>
        <v>736992</v>
      </c>
      <c r="I16" s="60"/>
    </row>
    <row r="17" ht="16.5" hidden="1" customHeight="1">
      <c r="A17" s="58">
        <v>9.0</v>
      </c>
      <c r="B17" s="43" t="s">
        <v>123</v>
      </c>
      <c r="C17" s="59" t="s">
        <v>119</v>
      </c>
      <c r="D17" s="60" t="str">
        <f>'chi tiet xe'!D20</f>
        <v/>
      </c>
      <c r="E17" s="80">
        <v>6.0</v>
      </c>
      <c r="F17" s="61">
        <f t="shared" si="1"/>
        <v>0</v>
      </c>
      <c r="G17" s="61">
        <v>20472.0</v>
      </c>
      <c r="H17" s="60">
        <f t="shared" si="2"/>
        <v>0</v>
      </c>
      <c r="I17" s="60"/>
    </row>
    <row r="18" ht="16.5" customHeight="1">
      <c r="A18" s="58">
        <v>7.0</v>
      </c>
      <c r="B18" s="43" t="s">
        <v>82</v>
      </c>
      <c r="C18" s="59" t="s">
        <v>119</v>
      </c>
      <c r="D18" s="60" t="str">
        <f>'chi tiet xe'!D22</f>
        <v/>
      </c>
      <c r="E18" s="80">
        <v>1.4</v>
      </c>
      <c r="F18" s="61">
        <f t="shared" si="1"/>
        <v>0</v>
      </c>
      <c r="G18" s="61">
        <v>20472.0</v>
      </c>
      <c r="H18" s="60">
        <f t="shared" si="2"/>
        <v>0</v>
      </c>
      <c r="I18" s="60"/>
    </row>
    <row r="19" ht="16.5" customHeight="1">
      <c r="A19" s="58">
        <v>8.0</v>
      </c>
      <c r="B19" s="43" t="s">
        <v>84</v>
      </c>
      <c r="C19" s="59" t="s">
        <v>119</v>
      </c>
      <c r="D19" s="60">
        <f>'chi tiet xe'!D23</f>
        <v>7</v>
      </c>
      <c r="E19" s="80">
        <v>6.0</v>
      </c>
      <c r="F19" s="61">
        <f t="shared" si="1"/>
        <v>42</v>
      </c>
      <c r="G19" s="61">
        <v>20472.0</v>
      </c>
      <c r="H19" s="60">
        <f t="shared" si="2"/>
        <v>859824</v>
      </c>
      <c r="I19" s="60"/>
    </row>
    <row r="20" ht="16.5" customHeight="1">
      <c r="A20" s="58">
        <v>10.0</v>
      </c>
      <c r="B20" s="43" t="s">
        <v>86</v>
      </c>
      <c r="C20" s="59" t="s">
        <v>119</v>
      </c>
      <c r="D20" s="60" t="str">
        <f>'chi tiet xe'!D24</f>
        <v/>
      </c>
      <c r="E20" s="80">
        <v>2.0</v>
      </c>
      <c r="F20" s="61">
        <f t="shared" si="1"/>
        <v>0</v>
      </c>
      <c r="G20" s="61">
        <v>20472.0</v>
      </c>
      <c r="H20" s="60">
        <f t="shared" si="2"/>
        <v>0</v>
      </c>
      <c r="I20" s="60"/>
    </row>
    <row r="21" ht="16.5" hidden="1" customHeight="1">
      <c r="A21" s="58">
        <v>13.0</v>
      </c>
      <c r="B21" s="43" t="s">
        <v>87</v>
      </c>
      <c r="C21" s="59" t="s">
        <v>119</v>
      </c>
      <c r="D21" s="60" t="str">
        <f>'chi tiet xe'!D25</f>
        <v/>
      </c>
      <c r="E21" s="80">
        <v>30.0</v>
      </c>
      <c r="F21" s="61">
        <f t="shared" si="1"/>
        <v>0</v>
      </c>
      <c r="G21" s="61">
        <v>20472.0</v>
      </c>
      <c r="H21" s="60">
        <f t="shared" si="2"/>
        <v>0</v>
      </c>
      <c r="I21" s="60"/>
    </row>
    <row r="22" ht="16.5" customHeight="1">
      <c r="A22" s="58">
        <v>11.0</v>
      </c>
      <c r="B22" s="43" t="s">
        <v>88</v>
      </c>
      <c r="C22" s="59" t="s">
        <v>119</v>
      </c>
      <c r="D22" s="82">
        <v>1.0</v>
      </c>
      <c r="E22" s="80">
        <v>10.0</v>
      </c>
      <c r="F22" s="61">
        <f t="shared" si="1"/>
        <v>10</v>
      </c>
      <c r="G22" s="61">
        <v>20472.0</v>
      </c>
      <c r="H22" s="60">
        <f t="shared" si="2"/>
        <v>204720</v>
      </c>
      <c r="I22" s="60"/>
    </row>
    <row r="23" ht="15.0" customHeight="1">
      <c r="A23" s="58"/>
      <c r="B23" s="63" t="s">
        <v>105</v>
      </c>
      <c r="C23" s="64"/>
      <c r="D23" s="65">
        <f>SUM(D6:D22)</f>
        <v>30</v>
      </c>
      <c r="E23" s="66"/>
      <c r="F23" s="67">
        <f>SUM(F6:F22)</f>
        <v>843</v>
      </c>
      <c r="G23" s="60"/>
      <c r="H23" s="65">
        <f>SUM(H6:H22)</f>
        <v>17257896</v>
      </c>
      <c r="I23" s="65">
        <f>SUM(I6:I15)</f>
        <v>0</v>
      </c>
    </row>
    <row r="24" ht="15.0" customHeight="1">
      <c r="A24" s="58"/>
      <c r="B24" s="63" t="s">
        <v>106</v>
      </c>
      <c r="C24" s="64"/>
      <c r="D24" s="68"/>
      <c r="E24" s="68"/>
      <c r="F24" s="69">
        <v>375.9</v>
      </c>
      <c r="G24" s="60"/>
      <c r="H24" s="65"/>
      <c r="I24" s="65"/>
    </row>
    <row r="25" ht="12.75" customHeight="1">
      <c r="A25" s="58"/>
      <c r="B25" s="63" t="s">
        <v>107</v>
      </c>
      <c r="C25" s="64"/>
      <c r="D25" s="68"/>
      <c r="E25" s="68"/>
      <c r="F25" s="70">
        <v>560.0</v>
      </c>
      <c r="G25" s="65"/>
      <c r="H25" s="65"/>
      <c r="I25" s="65"/>
      <c r="J25" s="71"/>
    </row>
    <row r="26" ht="15.0" customHeight="1">
      <c r="A26" s="58"/>
      <c r="B26" s="63" t="s">
        <v>108</v>
      </c>
      <c r="C26" s="64"/>
      <c r="D26" s="68"/>
      <c r="E26" s="68"/>
      <c r="F26" s="70">
        <f>F25+F24-F23</f>
        <v>92.9</v>
      </c>
      <c r="G26" s="65"/>
      <c r="H26" s="65"/>
      <c r="I26" s="65"/>
      <c r="K26" s="83">
        <v>380.0</v>
      </c>
      <c r="L26" s="71">
        <f>F26-K26</f>
        <v>-287.1</v>
      </c>
    </row>
    <row r="27" ht="15.0" customHeight="1">
      <c r="A27" s="72"/>
      <c r="B27" s="72"/>
      <c r="C27" s="72"/>
      <c r="D27" s="72"/>
      <c r="E27" s="73"/>
      <c r="F27" s="84" t="s">
        <v>124</v>
      </c>
      <c r="G27" s="75"/>
      <c r="H27" s="75"/>
      <c r="I27" s="75"/>
    </row>
    <row r="28" ht="13.5" customHeight="1">
      <c r="A28" s="76"/>
      <c r="B28" s="76" t="s">
        <v>110</v>
      </c>
      <c r="C28" s="76" t="s">
        <v>111</v>
      </c>
      <c r="D28" s="76"/>
      <c r="E28" s="76" t="s">
        <v>112</v>
      </c>
      <c r="F28" s="77" t="s">
        <v>113</v>
      </c>
      <c r="G28" s="76"/>
      <c r="H28" s="77" t="s">
        <v>28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0" customHeight="1">
      <c r="I29" s="3"/>
    </row>
    <row r="30" ht="12.75" customHeight="1"/>
    <row r="31" ht="12.75" customHeight="1"/>
    <row r="32" ht="12.75" customHeight="1"/>
    <row r="33" ht="12.75" customHeight="1"/>
    <row r="34" ht="12.75" customHeight="1">
      <c r="I34" s="78" t="s">
        <v>115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25:C25"/>
    <mergeCell ref="B26:C26"/>
    <mergeCell ref="F27:I27"/>
    <mergeCell ref="A1:C1"/>
    <mergeCell ref="D1:I1"/>
    <mergeCell ref="A2:C2"/>
    <mergeCell ref="D2:I2"/>
    <mergeCell ref="B3:I3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0.0"/>
    <col customWidth="1" min="3" max="3" width="11.75"/>
    <col customWidth="1" min="4" max="4" width="8.0"/>
    <col customWidth="1" min="5" max="5" width="16.5"/>
    <col customWidth="1" min="6" max="6" width="11.0"/>
    <col customWidth="1" min="7" max="7" width="17.25"/>
    <col customWidth="1" min="8" max="8" width="13.25"/>
    <col customWidth="1" min="9" max="9" width="18.5"/>
    <col customWidth="1" min="10" max="26" width="8.0"/>
  </cols>
  <sheetData>
    <row r="1" ht="16.5" customHeight="1">
      <c r="A1" s="54" t="s">
        <v>0</v>
      </c>
      <c r="B1" s="54"/>
      <c r="C1" s="54"/>
      <c r="D1" s="1" t="s">
        <v>1</v>
      </c>
    </row>
    <row r="2" ht="13.5" customHeight="1">
      <c r="A2" s="1" t="s">
        <v>2</v>
      </c>
      <c r="D2" s="1" t="s">
        <v>3</v>
      </c>
    </row>
    <row r="3" ht="12.0" customHeight="1">
      <c r="A3" s="3"/>
      <c r="B3" s="55" t="s">
        <v>89</v>
      </c>
    </row>
    <row r="4" ht="15.0" customHeight="1">
      <c r="A4" s="3"/>
      <c r="B4" s="10" t="s">
        <v>125</v>
      </c>
      <c r="D4" s="1"/>
      <c r="E4" s="56"/>
      <c r="F4" s="10" t="s">
        <v>126</v>
      </c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57" t="s">
        <v>8</v>
      </c>
      <c r="B5" s="57" t="s">
        <v>92</v>
      </c>
      <c r="C5" s="57" t="s">
        <v>93</v>
      </c>
      <c r="D5" s="57" t="s">
        <v>94</v>
      </c>
      <c r="E5" s="57" t="s">
        <v>95</v>
      </c>
      <c r="F5" s="57" t="s">
        <v>96</v>
      </c>
      <c r="G5" s="57" t="s">
        <v>97</v>
      </c>
      <c r="H5" s="57" t="s">
        <v>98</v>
      </c>
      <c r="I5" s="57" t="s">
        <v>58</v>
      </c>
    </row>
    <row r="6" ht="24.0" customHeight="1">
      <c r="A6" s="58">
        <v>1.0</v>
      </c>
      <c r="B6" s="43" t="s">
        <v>61</v>
      </c>
      <c r="C6" s="59" t="s">
        <v>99</v>
      </c>
      <c r="D6" s="44">
        <v>1.0</v>
      </c>
      <c r="E6" s="79">
        <f>'chi tiet xe'!B6</f>
        <v>236.52</v>
      </c>
      <c r="F6" s="85">
        <f t="shared" ref="F6:F24" si="1">D6*E6</f>
        <v>236.52</v>
      </c>
      <c r="G6" s="61">
        <v>18455.55</v>
      </c>
      <c r="H6" s="60">
        <f t="shared" ref="H6:H25" si="2">F6*G6</f>
        <v>4365106.686</v>
      </c>
      <c r="I6" s="62"/>
    </row>
    <row r="7" ht="36.0" hidden="1" customHeight="1">
      <c r="A7" s="58">
        <v>2.0</v>
      </c>
      <c r="B7" s="43" t="s">
        <v>64</v>
      </c>
      <c r="C7" s="59" t="s">
        <v>99</v>
      </c>
      <c r="D7" s="44"/>
      <c r="E7" s="79">
        <f>'chi tiet xe'!B9</f>
        <v>310</v>
      </c>
      <c r="F7" s="85">
        <f t="shared" si="1"/>
        <v>0</v>
      </c>
      <c r="G7" s="61">
        <v>20472.0</v>
      </c>
      <c r="H7" s="60">
        <f t="shared" si="2"/>
        <v>0</v>
      </c>
      <c r="I7" s="62"/>
    </row>
    <row r="8" ht="25.5" customHeight="1">
      <c r="A8" s="58">
        <v>2.0</v>
      </c>
      <c r="B8" s="43" t="s">
        <v>65</v>
      </c>
      <c r="C8" s="59" t="s">
        <v>99</v>
      </c>
      <c r="D8" s="44">
        <v>7.0</v>
      </c>
      <c r="E8" s="79">
        <f>'chi tiet xe'!B10</f>
        <v>62</v>
      </c>
      <c r="F8" s="85">
        <f t="shared" si="1"/>
        <v>434</v>
      </c>
      <c r="G8" s="61">
        <v>18455.55</v>
      </c>
      <c r="H8" s="60">
        <f t="shared" si="2"/>
        <v>8009708.7</v>
      </c>
      <c r="I8" s="62"/>
    </row>
    <row r="9" ht="27.0" customHeight="1">
      <c r="A9" s="58">
        <v>3.0</v>
      </c>
      <c r="B9" s="43" t="s">
        <v>66</v>
      </c>
      <c r="C9" s="59" t="s">
        <v>99</v>
      </c>
      <c r="D9" s="44">
        <v>1.0</v>
      </c>
      <c r="E9" s="79">
        <f>'chi tiet xe'!B11</f>
        <v>124</v>
      </c>
      <c r="F9" s="85">
        <f t="shared" si="1"/>
        <v>124</v>
      </c>
      <c r="G9" s="61">
        <v>18455.55</v>
      </c>
      <c r="H9" s="60">
        <f t="shared" si="2"/>
        <v>2288488.2</v>
      </c>
      <c r="I9" s="62"/>
    </row>
    <row r="10" ht="24.75" customHeight="1">
      <c r="A10" s="58">
        <v>4.0</v>
      </c>
      <c r="B10" s="48" t="s">
        <v>67</v>
      </c>
      <c r="C10" s="59" t="s">
        <v>99</v>
      </c>
      <c r="D10" s="44">
        <v>1.0</v>
      </c>
      <c r="E10" s="79">
        <f>'chi tiet xe'!B12</f>
        <v>27</v>
      </c>
      <c r="F10" s="85">
        <f t="shared" si="1"/>
        <v>27</v>
      </c>
      <c r="G10" s="61">
        <v>18455.55</v>
      </c>
      <c r="H10" s="60">
        <f t="shared" si="2"/>
        <v>498299.85</v>
      </c>
      <c r="I10" s="62"/>
    </row>
    <row r="11" ht="30.0" hidden="1" customHeight="1">
      <c r="A11" s="58">
        <v>2.0</v>
      </c>
      <c r="B11" s="43" t="s">
        <v>68</v>
      </c>
      <c r="C11" s="59" t="s">
        <v>101</v>
      </c>
      <c r="D11" s="44"/>
      <c r="E11" s="79">
        <f>'chi tiet xe'!B13</f>
        <v>50</v>
      </c>
      <c r="F11" s="85">
        <f t="shared" si="1"/>
        <v>0</v>
      </c>
      <c r="G11" s="61">
        <v>18455.55</v>
      </c>
      <c r="H11" s="60">
        <f t="shared" si="2"/>
        <v>0</v>
      </c>
      <c r="I11" s="62"/>
    </row>
    <row r="12" ht="26.25" hidden="1" customHeight="1">
      <c r="A12" s="58">
        <v>4.0</v>
      </c>
      <c r="B12" s="43" t="s">
        <v>69</v>
      </c>
      <c r="C12" s="59" t="s">
        <v>102</v>
      </c>
      <c r="D12" s="44"/>
      <c r="E12" s="79">
        <f>'chi tiet xe'!B14</f>
        <v>75</v>
      </c>
      <c r="F12" s="85">
        <f t="shared" si="1"/>
        <v>0</v>
      </c>
      <c r="G12" s="61">
        <v>18455.55</v>
      </c>
      <c r="H12" s="60">
        <f t="shared" si="2"/>
        <v>0</v>
      </c>
      <c r="I12" s="58"/>
    </row>
    <row r="13" ht="26.25" hidden="1" customHeight="1">
      <c r="A13" s="58">
        <v>3.0</v>
      </c>
      <c r="B13" s="43" t="s">
        <v>70</v>
      </c>
      <c r="C13" s="59" t="s">
        <v>101</v>
      </c>
      <c r="D13" s="44"/>
      <c r="E13" s="79">
        <f>'chi tiet xe'!B15</f>
        <v>29</v>
      </c>
      <c r="F13" s="85">
        <f t="shared" si="1"/>
        <v>0</v>
      </c>
      <c r="G13" s="61">
        <v>18455.55</v>
      </c>
      <c r="H13" s="60">
        <f t="shared" si="2"/>
        <v>0</v>
      </c>
      <c r="I13" s="58"/>
    </row>
    <row r="14" ht="27.75" customHeight="1">
      <c r="A14" s="58">
        <v>5.0</v>
      </c>
      <c r="B14" s="43" t="s">
        <v>71</v>
      </c>
      <c r="C14" s="59" t="s">
        <v>101</v>
      </c>
      <c r="D14" s="44">
        <f>16+7</f>
        <v>23</v>
      </c>
      <c r="E14" s="79">
        <f>'chi tiet xe'!B16</f>
        <v>7.5</v>
      </c>
      <c r="F14" s="85">
        <f t="shared" si="1"/>
        <v>172.5</v>
      </c>
      <c r="G14" s="61">
        <v>18455.55</v>
      </c>
      <c r="H14" s="60">
        <f t="shared" si="2"/>
        <v>3183582.375</v>
      </c>
      <c r="I14" s="60"/>
    </row>
    <row r="15" ht="26.25" hidden="1" customHeight="1">
      <c r="A15" s="58">
        <v>4.0</v>
      </c>
      <c r="B15" s="43" t="s">
        <v>73</v>
      </c>
      <c r="C15" s="59" t="s">
        <v>101</v>
      </c>
      <c r="D15" s="44"/>
      <c r="E15" s="79">
        <f>'chi tiet xe'!B17</f>
        <v>7.5</v>
      </c>
      <c r="F15" s="85">
        <f t="shared" si="1"/>
        <v>0</v>
      </c>
      <c r="G15" s="61">
        <v>18455.55</v>
      </c>
      <c r="H15" s="60">
        <f t="shared" si="2"/>
        <v>0</v>
      </c>
      <c r="I15" s="60"/>
    </row>
    <row r="16" ht="21.0" customHeight="1">
      <c r="A16" s="58">
        <v>6.0</v>
      </c>
      <c r="B16" s="43" t="s">
        <v>75</v>
      </c>
      <c r="C16" s="59" t="s">
        <v>99</v>
      </c>
      <c r="D16" s="44">
        <f>5+4+11</f>
        <v>20</v>
      </c>
      <c r="E16" s="79">
        <f>'chi tiet xe'!B18</f>
        <v>7.5</v>
      </c>
      <c r="F16" s="85">
        <f t="shared" si="1"/>
        <v>150</v>
      </c>
      <c r="G16" s="61">
        <v>18455.55</v>
      </c>
      <c r="H16" s="60">
        <f t="shared" si="2"/>
        <v>2768332.5</v>
      </c>
      <c r="I16" s="60"/>
    </row>
    <row r="17" ht="23.25" customHeight="1">
      <c r="A17" s="58">
        <v>7.0</v>
      </c>
      <c r="B17" s="43" t="s">
        <v>77</v>
      </c>
      <c r="C17" s="59" t="s">
        <v>99</v>
      </c>
      <c r="D17" s="44">
        <v>8.0</v>
      </c>
      <c r="E17" s="79">
        <f>'chi tiet xe'!B19</f>
        <v>6</v>
      </c>
      <c r="F17" s="85">
        <f t="shared" si="1"/>
        <v>48</v>
      </c>
      <c r="G17" s="61">
        <v>18455.55</v>
      </c>
      <c r="H17" s="60">
        <f t="shared" si="2"/>
        <v>885866.4</v>
      </c>
      <c r="I17" s="60"/>
    </row>
    <row r="18" ht="21.75" customHeight="1">
      <c r="A18" s="58">
        <v>8.0</v>
      </c>
      <c r="B18" s="43" t="s">
        <v>79</v>
      </c>
      <c r="C18" s="59" t="s">
        <v>99</v>
      </c>
      <c r="D18" s="44">
        <f>14+13+23+21</f>
        <v>71</v>
      </c>
      <c r="E18" s="79">
        <f>'chi tiet xe'!B20</f>
        <v>6</v>
      </c>
      <c r="F18" s="85">
        <f t="shared" si="1"/>
        <v>426</v>
      </c>
      <c r="G18" s="61">
        <v>18455.55</v>
      </c>
      <c r="H18" s="60">
        <f t="shared" si="2"/>
        <v>7862064.3</v>
      </c>
      <c r="I18" s="60"/>
    </row>
    <row r="19" ht="26.25" hidden="1" customHeight="1">
      <c r="A19" s="58">
        <v>5.0</v>
      </c>
      <c r="B19" s="43" t="s">
        <v>81</v>
      </c>
      <c r="C19" s="59" t="s">
        <v>99</v>
      </c>
      <c r="D19" s="44"/>
      <c r="E19" s="79">
        <f>'chi tiet xe'!B21</f>
        <v>6</v>
      </c>
      <c r="F19" s="85">
        <f t="shared" si="1"/>
        <v>0</v>
      </c>
      <c r="G19" s="61">
        <v>18455.55</v>
      </c>
      <c r="H19" s="60">
        <f t="shared" si="2"/>
        <v>0</v>
      </c>
      <c r="I19" s="60"/>
    </row>
    <row r="20" ht="15.0" customHeight="1">
      <c r="A20" s="58">
        <v>9.0</v>
      </c>
      <c r="B20" s="43" t="s">
        <v>82</v>
      </c>
      <c r="C20" s="59" t="s">
        <v>99</v>
      </c>
      <c r="D20" s="44">
        <f>23+27+30+28</f>
        <v>108</v>
      </c>
      <c r="E20" s="79">
        <f>'chi tiet xe'!B22</f>
        <v>1.4</v>
      </c>
      <c r="F20" s="85">
        <f t="shared" si="1"/>
        <v>151.2</v>
      </c>
      <c r="G20" s="61">
        <v>18455.55</v>
      </c>
      <c r="H20" s="60">
        <f t="shared" si="2"/>
        <v>2790479.16</v>
      </c>
      <c r="I20" s="60"/>
    </row>
    <row r="21" ht="17.25" customHeight="1">
      <c r="A21" s="58">
        <v>10.0</v>
      </c>
      <c r="B21" s="43" t="s">
        <v>84</v>
      </c>
      <c r="C21" s="59" t="s">
        <v>99</v>
      </c>
      <c r="D21" s="44">
        <v>20.0</v>
      </c>
      <c r="E21" s="79">
        <f>'chi tiet xe'!B23</f>
        <v>6</v>
      </c>
      <c r="F21" s="85">
        <f t="shared" si="1"/>
        <v>120</v>
      </c>
      <c r="G21" s="61">
        <v>18455.55</v>
      </c>
      <c r="H21" s="60">
        <f t="shared" si="2"/>
        <v>2214666</v>
      </c>
      <c r="I21" s="60"/>
    </row>
    <row r="22" ht="16.5" customHeight="1">
      <c r="A22" s="58">
        <v>11.0</v>
      </c>
      <c r="B22" s="43" t="s">
        <v>86</v>
      </c>
      <c r="C22" s="59" t="s">
        <v>99</v>
      </c>
      <c r="D22" s="44">
        <f>6+8+8+20+10+17+10+10</f>
        <v>89</v>
      </c>
      <c r="E22" s="79">
        <f>'chi tiet xe'!B24</f>
        <v>2</v>
      </c>
      <c r="F22" s="85">
        <f t="shared" si="1"/>
        <v>178</v>
      </c>
      <c r="G22" s="61">
        <v>18455.55</v>
      </c>
      <c r="H22" s="60">
        <f t="shared" si="2"/>
        <v>3285087.9</v>
      </c>
      <c r="I22" s="60"/>
    </row>
    <row r="23" ht="15.75" customHeight="1">
      <c r="A23" s="58">
        <v>12.0</v>
      </c>
      <c r="B23" s="43" t="s">
        <v>87</v>
      </c>
      <c r="C23" s="59" t="s">
        <v>99</v>
      </c>
      <c r="D23" s="44">
        <v>1.0</v>
      </c>
      <c r="E23" s="79">
        <f>'chi tiet xe'!B25</f>
        <v>30</v>
      </c>
      <c r="F23" s="85">
        <f t="shared" si="1"/>
        <v>30</v>
      </c>
      <c r="G23" s="61">
        <v>18455.55</v>
      </c>
      <c r="H23" s="60">
        <f t="shared" si="2"/>
        <v>553666.5</v>
      </c>
      <c r="I23" s="60"/>
    </row>
    <row r="24" ht="15.75" customHeight="1">
      <c r="A24" s="58">
        <v>13.0</v>
      </c>
      <c r="B24" s="43" t="s">
        <v>88</v>
      </c>
      <c r="C24" s="59" t="s">
        <v>99</v>
      </c>
      <c r="D24" s="44">
        <v>2.0</v>
      </c>
      <c r="E24" s="79">
        <f>'chi tiet xe'!B26</f>
        <v>10</v>
      </c>
      <c r="F24" s="85">
        <f t="shared" si="1"/>
        <v>20</v>
      </c>
      <c r="G24" s="61">
        <v>18455.55</v>
      </c>
      <c r="H24" s="60">
        <f t="shared" si="2"/>
        <v>369111</v>
      </c>
      <c r="I24" s="60"/>
    </row>
    <row r="25" ht="15.75" customHeight="1">
      <c r="A25" s="58">
        <v>14.0</v>
      </c>
      <c r="B25" s="43" t="s">
        <v>127</v>
      </c>
      <c r="C25" s="59"/>
      <c r="D25" s="44"/>
      <c r="E25" s="79"/>
      <c r="F25" s="85">
        <v>80.0</v>
      </c>
      <c r="G25" s="61">
        <v>18455.55</v>
      </c>
      <c r="H25" s="60">
        <f t="shared" si="2"/>
        <v>1476444</v>
      </c>
      <c r="I25" s="60"/>
    </row>
    <row r="26" ht="15.0" customHeight="1">
      <c r="A26" s="58"/>
      <c r="B26" s="63" t="s">
        <v>105</v>
      </c>
      <c r="C26" s="64"/>
      <c r="D26" s="65">
        <f>SUM(D6:D24)</f>
        <v>352</v>
      </c>
      <c r="E26" s="66"/>
      <c r="F26" s="67">
        <f>SUM(F6:F25)</f>
        <v>2197.22</v>
      </c>
      <c r="G26" s="60"/>
      <c r="H26" s="65">
        <f>SUM(H6:H24)</f>
        <v>39074459.57</v>
      </c>
      <c r="I26" s="65">
        <f>SUM(I6:I15)</f>
        <v>0</v>
      </c>
    </row>
    <row r="27" ht="15.0" customHeight="1">
      <c r="A27" s="58"/>
      <c r="B27" s="63" t="s">
        <v>106</v>
      </c>
      <c r="C27" s="64"/>
      <c r="D27" s="68"/>
      <c r="E27" s="68"/>
      <c r="F27" s="69">
        <v>1406.1</v>
      </c>
      <c r="G27" s="60"/>
      <c r="H27" s="65"/>
      <c r="I27" s="65"/>
    </row>
    <row r="28" ht="23.25" customHeight="1">
      <c r="A28" s="58"/>
      <c r="B28" s="63" t="s">
        <v>107</v>
      </c>
      <c r="C28" s="64"/>
      <c r="D28" s="68"/>
      <c r="E28" s="68"/>
      <c r="F28" s="70">
        <v>1590.0</v>
      </c>
      <c r="G28" s="65"/>
      <c r="H28" s="65"/>
      <c r="I28" s="65"/>
      <c r="J28" s="71"/>
    </row>
    <row r="29" ht="15.75" customHeight="1">
      <c r="A29" s="58"/>
      <c r="B29" s="63" t="s">
        <v>108</v>
      </c>
      <c r="C29" s="64"/>
      <c r="D29" s="68"/>
      <c r="E29" s="68"/>
      <c r="F29" s="70">
        <f>F28+F27-F26</f>
        <v>798.88</v>
      </c>
      <c r="G29" s="65"/>
      <c r="H29" s="65"/>
      <c r="I29" s="65"/>
    </row>
    <row r="30" ht="12.75" customHeight="1">
      <c r="A30" s="72"/>
      <c r="B30" s="72"/>
      <c r="C30" s="72"/>
      <c r="D30" s="72"/>
      <c r="E30" s="73"/>
      <c r="F30" s="74" t="s">
        <v>109</v>
      </c>
      <c r="G30" s="75"/>
      <c r="H30" s="75"/>
      <c r="I30" s="75"/>
    </row>
    <row r="31" ht="15.0" customHeight="1">
      <c r="A31" s="76"/>
      <c r="B31" s="76" t="s">
        <v>110</v>
      </c>
      <c r="C31" s="77" t="s">
        <v>111</v>
      </c>
      <c r="E31" s="77" t="s">
        <v>112</v>
      </c>
      <c r="F31" s="77" t="s">
        <v>113</v>
      </c>
      <c r="H31" s="77" t="s">
        <v>114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2.75" customHeight="1"/>
    <row r="33" ht="12.75" customHeight="1"/>
    <row r="34" ht="12.75" customHeight="1"/>
    <row r="35" ht="12.75" customHeight="1">
      <c r="I35" s="78" t="s">
        <v>115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B28:C28"/>
    <mergeCell ref="B29:C29"/>
    <mergeCell ref="F30:I30"/>
    <mergeCell ref="C31:D31"/>
    <mergeCell ref="F31:G31"/>
    <mergeCell ref="D1:I1"/>
    <mergeCell ref="A2:C2"/>
    <mergeCell ref="D2:I2"/>
    <mergeCell ref="B3:I3"/>
    <mergeCell ref="B4:C4"/>
    <mergeCell ref="B26:C26"/>
    <mergeCell ref="B27:C2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9.75"/>
    <col customWidth="1" min="3" max="3" width="22.5"/>
    <col customWidth="1" min="4" max="4" width="17.25"/>
    <col customWidth="1" min="5" max="5" width="13.5"/>
    <col customWidth="1" min="6" max="6" width="14.25"/>
    <col customWidth="1" min="7" max="7" width="12.75"/>
    <col customWidth="1" min="8" max="8" width="14.5"/>
    <col customWidth="1" min="9" max="9" width="11.5"/>
    <col customWidth="1" min="10" max="26" width="8.0"/>
  </cols>
  <sheetData>
    <row r="1" ht="12.75" customHeight="1"/>
    <row r="2" ht="12.75" customHeight="1"/>
    <row r="3" ht="12.75" customHeight="1"/>
    <row r="4" ht="3.75" customHeight="1">
      <c r="A4" s="86"/>
      <c r="B4" s="87"/>
      <c r="C4" s="87"/>
      <c r="D4" s="87"/>
      <c r="E4" s="87"/>
      <c r="F4" s="87"/>
      <c r="G4" s="87"/>
      <c r="H4" s="87"/>
      <c r="I4" s="87"/>
      <c r="J4" s="3"/>
    </row>
    <row r="5" ht="16.5" customHeight="1">
      <c r="A5" s="86"/>
      <c r="B5" s="87"/>
      <c r="C5" s="87"/>
      <c r="D5" s="87"/>
      <c r="E5" s="87"/>
      <c r="F5" s="87"/>
      <c r="G5" s="87"/>
      <c r="H5" s="87"/>
      <c r="I5" s="87"/>
      <c r="J5" s="3"/>
    </row>
    <row r="6" ht="21.0" customHeight="1">
      <c r="A6" s="88" t="s">
        <v>128</v>
      </c>
      <c r="J6" s="3"/>
    </row>
    <row r="7" ht="21.0" customHeight="1">
      <c r="A7" s="88" t="s">
        <v>129</v>
      </c>
      <c r="J7" s="3"/>
    </row>
    <row r="8" ht="21.0" customHeight="1">
      <c r="A8" s="88"/>
      <c r="B8" s="88"/>
      <c r="C8" s="88"/>
      <c r="D8" s="88"/>
      <c r="E8" s="88"/>
      <c r="F8" s="88"/>
      <c r="G8" s="88"/>
      <c r="H8" s="88"/>
      <c r="I8" s="88"/>
      <c r="J8" s="3"/>
    </row>
    <row r="9" ht="18.0" customHeight="1">
      <c r="A9" s="89" t="s">
        <v>8</v>
      </c>
      <c r="B9" s="89" t="s">
        <v>130</v>
      </c>
      <c r="C9" s="90" t="s">
        <v>131</v>
      </c>
      <c r="D9" s="91" t="s">
        <v>132</v>
      </c>
      <c r="E9" s="91" t="s">
        <v>132</v>
      </c>
      <c r="F9" s="91" t="s">
        <v>133</v>
      </c>
      <c r="G9" s="91" t="s">
        <v>97</v>
      </c>
      <c r="H9" s="90" t="s">
        <v>98</v>
      </c>
      <c r="I9" s="90" t="s">
        <v>134</v>
      </c>
      <c r="J9" s="7"/>
    </row>
    <row r="10" ht="18.0" customHeight="1">
      <c r="A10" s="92"/>
      <c r="B10" s="92"/>
      <c r="C10" s="92"/>
      <c r="D10" s="93" t="s">
        <v>135</v>
      </c>
      <c r="E10" s="93" t="s">
        <v>136</v>
      </c>
      <c r="F10" s="93" t="s">
        <v>137</v>
      </c>
      <c r="G10" s="92"/>
      <c r="H10" s="92"/>
      <c r="I10" s="92"/>
      <c r="J10" s="7"/>
    </row>
    <row r="11" ht="18.0" customHeight="1">
      <c r="A11" s="94"/>
      <c r="B11" s="94"/>
      <c r="C11" s="94"/>
      <c r="D11" s="95" t="s">
        <v>138</v>
      </c>
      <c r="E11" s="95" t="s">
        <v>138</v>
      </c>
      <c r="F11" s="95" t="s">
        <v>138</v>
      </c>
      <c r="G11" s="95" t="s">
        <v>139</v>
      </c>
      <c r="H11" s="94"/>
      <c r="I11" s="94"/>
      <c r="J11" s="7"/>
    </row>
    <row r="12" ht="18.0" hidden="1" customHeight="1">
      <c r="A12" s="96">
        <v>1.0</v>
      </c>
      <c r="B12" s="44" t="s">
        <v>140</v>
      </c>
      <c r="C12" s="44" t="s">
        <v>141</v>
      </c>
      <c r="D12" s="95"/>
      <c r="E12" s="95"/>
      <c r="F12" s="95"/>
      <c r="G12" s="95"/>
      <c r="H12" s="97"/>
      <c r="I12" s="97"/>
      <c r="J12" s="7"/>
    </row>
    <row r="13" ht="18.0" customHeight="1">
      <c r="A13" s="96">
        <v>1.0</v>
      </c>
      <c r="B13" s="44" t="s">
        <v>142</v>
      </c>
      <c r="C13" s="44" t="s">
        <v>143</v>
      </c>
      <c r="D13" s="98">
        <v>702.9</v>
      </c>
      <c r="E13" s="99">
        <v>380.0</v>
      </c>
      <c r="F13" s="100">
        <f>D13-E13</f>
        <v>322.9</v>
      </c>
      <c r="G13" s="99">
        <v>18454.0</v>
      </c>
      <c r="H13" s="101">
        <f>G13*F13</f>
        <v>5958796.6</v>
      </c>
      <c r="I13" s="97"/>
      <c r="J13" s="7"/>
    </row>
    <row r="14" ht="18.0" hidden="1" customHeight="1">
      <c r="A14" s="96">
        <v>3.0</v>
      </c>
      <c r="B14" s="44" t="s">
        <v>144</v>
      </c>
      <c r="C14" s="44" t="s">
        <v>145</v>
      </c>
      <c r="D14" s="95"/>
      <c r="E14" s="95"/>
      <c r="F14" s="95"/>
      <c r="G14" s="95"/>
      <c r="H14" s="97"/>
      <c r="I14" s="97"/>
      <c r="J14" s="7"/>
    </row>
    <row r="15" ht="18.0" hidden="1" customHeight="1">
      <c r="A15" s="96">
        <v>4.0</v>
      </c>
      <c r="B15" s="44" t="s">
        <v>146</v>
      </c>
      <c r="C15" s="44" t="s">
        <v>147</v>
      </c>
      <c r="D15" s="102">
        <v>631.0</v>
      </c>
      <c r="E15" s="102">
        <v>380.0</v>
      </c>
      <c r="F15" s="102">
        <f t="shared" ref="F15:F26" si="1">D15-E15</f>
        <v>251</v>
      </c>
      <c r="G15" s="99">
        <v>2.0472E7</v>
      </c>
      <c r="H15" s="101">
        <f t="shared" ref="H15:H26" si="2">F15*G15</f>
        <v>5138472000</v>
      </c>
      <c r="I15" s="97"/>
      <c r="J15" s="7"/>
    </row>
    <row r="16" ht="18.0" hidden="1" customHeight="1">
      <c r="A16" s="96">
        <v>5.0</v>
      </c>
      <c r="B16" s="44" t="s">
        <v>148</v>
      </c>
      <c r="C16" s="44" t="s">
        <v>149</v>
      </c>
      <c r="D16" s="102">
        <v>603.5</v>
      </c>
      <c r="E16" s="102">
        <v>380.0</v>
      </c>
      <c r="F16" s="102">
        <f t="shared" si="1"/>
        <v>223.5</v>
      </c>
      <c r="G16" s="99">
        <v>2.0472E7</v>
      </c>
      <c r="H16" s="101">
        <f t="shared" si="2"/>
        <v>4575492000</v>
      </c>
      <c r="I16" s="97"/>
      <c r="J16" s="7"/>
    </row>
    <row r="17" ht="18.0" hidden="1" customHeight="1">
      <c r="A17" s="96">
        <v>6.0</v>
      </c>
      <c r="B17" s="44" t="s">
        <v>148</v>
      </c>
      <c r="C17" s="44" t="s">
        <v>150</v>
      </c>
      <c r="D17" s="102"/>
      <c r="E17" s="102"/>
      <c r="F17" s="102">
        <f t="shared" si="1"/>
        <v>0</v>
      </c>
      <c r="G17" s="99">
        <v>2.0472E7</v>
      </c>
      <c r="H17" s="101">
        <f t="shared" si="2"/>
        <v>0</v>
      </c>
      <c r="I17" s="97"/>
      <c r="J17" s="7"/>
    </row>
    <row r="18" ht="18.0" hidden="1" customHeight="1">
      <c r="A18" s="96">
        <v>7.0</v>
      </c>
      <c r="B18" s="44" t="s">
        <v>151</v>
      </c>
      <c r="C18" s="44" t="s">
        <v>152</v>
      </c>
      <c r="D18" s="102"/>
      <c r="E18" s="102"/>
      <c r="F18" s="102">
        <f t="shared" si="1"/>
        <v>0</v>
      </c>
      <c r="G18" s="99">
        <v>2.0472E7</v>
      </c>
      <c r="H18" s="101">
        <f t="shared" si="2"/>
        <v>0</v>
      </c>
      <c r="I18" s="97"/>
      <c r="J18" s="7"/>
    </row>
    <row r="19" ht="18.0" hidden="1" customHeight="1">
      <c r="A19" s="96">
        <v>8.0</v>
      </c>
      <c r="B19" s="44" t="s">
        <v>153</v>
      </c>
      <c r="C19" s="44" t="s">
        <v>154</v>
      </c>
      <c r="D19" s="102">
        <v>412.0</v>
      </c>
      <c r="E19" s="102">
        <v>380.0</v>
      </c>
      <c r="F19" s="102">
        <f t="shared" si="1"/>
        <v>32</v>
      </c>
      <c r="G19" s="99">
        <v>2.0472E7</v>
      </c>
      <c r="H19" s="101">
        <f t="shared" si="2"/>
        <v>655104000</v>
      </c>
      <c r="I19" s="97"/>
      <c r="J19" s="7"/>
    </row>
    <row r="20" ht="18.0" hidden="1" customHeight="1">
      <c r="A20" s="96">
        <v>9.0</v>
      </c>
      <c r="B20" s="44" t="s">
        <v>155</v>
      </c>
      <c r="C20" s="44" t="s">
        <v>156</v>
      </c>
      <c r="D20" s="102"/>
      <c r="E20" s="102"/>
      <c r="F20" s="102">
        <f t="shared" si="1"/>
        <v>0</v>
      </c>
      <c r="G20" s="99">
        <v>2.0472E7</v>
      </c>
      <c r="H20" s="101">
        <f t="shared" si="2"/>
        <v>0</v>
      </c>
      <c r="I20" s="97"/>
      <c r="J20" s="7"/>
    </row>
    <row r="21" ht="18.0" hidden="1" customHeight="1">
      <c r="A21" s="96">
        <v>10.0</v>
      </c>
      <c r="B21" s="44" t="s">
        <v>157</v>
      </c>
      <c r="C21" s="44" t="s">
        <v>158</v>
      </c>
      <c r="D21" s="103"/>
      <c r="E21" s="103"/>
      <c r="F21" s="102">
        <f t="shared" si="1"/>
        <v>0</v>
      </c>
      <c r="G21" s="99">
        <v>2.0472E7</v>
      </c>
      <c r="H21" s="101">
        <f t="shared" si="2"/>
        <v>0</v>
      </c>
      <c r="I21" s="104"/>
      <c r="J21" s="105"/>
    </row>
    <row r="22" ht="18.0" hidden="1" customHeight="1">
      <c r="A22" s="96">
        <v>11.0</v>
      </c>
      <c r="B22" s="44" t="s">
        <v>159</v>
      </c>
      <c r="C22" s="44" t="s">
        <v>160</v>
      </c>
      <c r="D22" s="103"/>
      <c r="E22" s="103"/>
      <c r="F22" s="102">
        <f t="shared" si="1"/>
        <v>0</v>
      </c>
      <c r="G22" s="99">
        <v>2.0472E7</v>
      </c>
      <c r="H22" s="101">
        <f t="shared" si="2"/>
        <v>0</v>
      </c>
      <c r="I22" s="104"/>
      <c r="J22" s="105"/>
    </row>
    <row r="23" ht="18.0" hidden="1" customHeight="1">
      <c r="A23" s="96">
        <v>12.0</v>
      </c>
      <c r="B23" s="44" t="s">
        <v>161</v>
      </c>
      <c r="C23" s="44" t="s">
        <v>162</v>
      </c>
      <c r="D23" s="106">
        <v>665.5</v>
      </c>
      <c r="E23" s="106">
        <v>380.0</v>
      </c>
      <c r="F23" s="102">
        <f t="shared" si="1"/>
        <v>285.5</v>
      </c>
      <c r="G23" s="99">
        <v>2.0472E7</v>
      </c>
      <c r="H23" s="101">
        <f t="shared" si="2"/>
        <v>5844756000</v>
      </c>
      <c r="I23" s="104"/>
      <c r="J23" s="105"/>
    </row>
    <row r="24" ht="18.0" hidden="1" customHeight="1">
      <c r="A24" s="96">
        <v>13.0</v>
      </c>
      <c r="B24" s="44" t="s">
        <v>163</v>
      </c>
      <c r="C24" s="44" t="s">
        <v>164</v>
      </c>
      <c r="D24" s="106">
        <v>611.7</v>
      </c>
      <c r="E24" s="106">
        <v>380.0</v>
      </c>
      <c r="F24" s="102">
        <f t="shared" si="1"/>
        <v>231.7</v>
      </c>
      <c r="G24" s="99">
        <v>2.0472E7</v>
      </c>
      <c r="H24" s="101">
        <f t="shared" si="2"/>
        <v>4743362400</v>
      </c>
      <c r="I24" s="104"/>
      <c r="J24" s="105"/>
    </row>
    <row r="25" ht="18.0" hidden="1" customHeight="1">
      <c r="A25" s="96">
        <v>14.0</v>
      </c>
      <c r="B25" s="107" t="s">
        <v>165</v>
      </c>
      <c r="C25" s="107" t="s">
        <v>166</v>
      </c>
      <c r="D25" s="106">
        <v>561.2</v>
      </c>
      <c r="E25" s="106">
        <v>380.0</v>
      </c>
      <c r="F25" s="102">
        <f t="shared" si="1"/>
        <v>181.2</v>
      </c>
      <c r="G25" s="99">
        <v>2.0472E7</v>
      </c>
      <c r="H25" s="101">
        <f t="shared" si="2"/>
        <v>3709526400</v>
      </c>
      <c r="I25" s="104"/>
      <c r="J25" s="105"/>
    </row>
    <row r="26" ht="18.0" hidden="1" customHeight="1">
      <c r="A26" s="96">
        <v>15.0</v>
      </c>
      <c r="B26" s="44" t="s">
        <v>167</v>
      </c>
      <c r="C26" s="44" t="s">
        <v>168</v>
      </c>
      <c r="D26" s="106">
        <v>405.1</v>
      </c>
      <c r="E26" s="106">
        <v>380.0</v>
      </c>
      <c r="F26" s="102">
        <f t="shared" si="1"/>
        <v>25.1</v>
      </c>
      <c r="G26" s="99">
        <v>2.0472E7</v>
      </c>
      <c r="H26" s="101">
        <f t="shared" si="2"/>
        <v>513847200</v>
      </c>
      <c r="I26" s="104"/>
      <c r="J26" s="105"/>
    </row>
    <row r="27" ht="18.0" hidden="1" customHeight="1">
      <c r="A27" s="96">
        <v>16.0</v>
      </c>
      <c r="B27" s="44" t="s">
        <v>169</v>
      </c>
      <c r="C27" s="44" t="s">
        <v>170</v>
      </c>
      <c r="D27" s="103"/>
      <c r="E27" s="103"/>
      <c r="F27" s="103"/>
      <c r="G27" s="99">
        <v>2.0472E7</v>
      </c>
      <c r="H27" s="108"/>
      <c r="I27" s="104"/>
      <c r="J27" s="105"/>
    </row>
    <row r="28" ht="18.0" hidden="1" customHeight="1">
      <c r="A28" s="96">
        <v>17.0</v>
      </c>
      <c r="B28" s="44" t="s">
        <v>171</v>
      </c>
      <c r="C28" s="44" t="s">
        <v>172</v>
      </c>
      <c r="D28" s="103"/>
      <c r="E28" s="103"/>
      <c r="F28" s="103"/>
      <c r="G28" s="99">
        <v>2.0472E7</v>
      </c>
      <c r="H28" s="108"/>
      <c r="I28" s="104"/>
      <c r="J28" s="105"/>
    </row>
    <row r="29" ht="18.0" customHeight="1">
      <c r="A29" s="96"/>
      <c r="B29" s="44"/>
      <c r="C29" s="44"/>
      <c r="D29" s="103"/>
      <c r="E29" s="103"/>
      <c r="F29" s="103"/>
      <c r="G29" s="99"/>
      <c r="H29" s="108"/>
      <c r="I29" s="104"/>
      <c r="J29" s="105"/>
    </row>
    <row r="30" ht="18.0" customHeight="1">
      <c r="A30" s="96"/>
      <c r="B30" s="44"/>
      <c r="C30" s="44"/>
      <c r="D30" s="103"/>
      <c r="E30" s="103"/>
      <c r="F30" s="103"/>
      <c r="G30" s="99"/>
      <c r="H30" s="108"/>
      <c r="I30" s="104"/>
      <c r="J30" s="105"/>
    </row>
    <row r="31" ht="18.0" customHeight="1">
      <c r="A31" s="109"/>
      <c r="B31" s="110" t="s">
        <v>173</v>
      </c>
      <c r="C31" s="109"/>
      <c r="D31" s="111">
        <f t="shared" ref="D31:F31" si="3">D13</f>
        <v>702.9</v>
      </c>
      <c r="E31" s="111">
        <f t="shared" si="3"/>
        <v>380</v>
      </c>
      <c r="F31" s="111">
        <f t="shared" si="3"/>
        <v>322.9</v>
      </c>
      <c r="G31" s="111"/>
      <c r="H31" s="112">
        <f>H13</f>
        <v>5958796.6</v>
      </c>
      <c r="I31" s="113"/>
      <c r="J31" s="114"/>
    </row>
    <row r="32" ht="18.0" customHeight="1">
      <c r="A32" s="2"/>
      <c r="B32" s="1"/>
      <c r="C32" s="2"/>
      <c r="D32" s="115"/>
      <c r="E32" s="115"/>
      <c r="F32" s="116"/>
      <c r="G32" s="116"/>
      <c r="H32" s="117"/>
      <c r="I32" s="118"/>
      <c r="J32" s="114"/>
    </row>
    <row r="33" ht="18.0" customHeight="1">
      <c r="A33" s="2"/>
      <c r="B33" s="1"/>
      <c r="C33" s="2"/>
      <c r="D33" s="115"/>
      <c r="E33" s="115"/>
      <c r="F33" s="119" t="s">
        <v>174</v>
      </c>
      <c r="J33" s="114"/>
    </row>
    <row r="34" ht="18.0" customHeight="1">
      <c r="A34" s="10" t="s">
        <v>175</v>
      </c>
      <c r="D34" s="1" t="s">
        <v>176</v>
      </c>
      <c r="G34" s="1" t="s">
        <v>28</v>
      </c>
      <c r="J34" s="120"/>
      <c r="K34" s="1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121"/>
      <c r="B35" s="121"/>
      <c r="C35" s="121"/>
      <c r="D35" s="121"/>
      <c r="E35" s="121"/>
      <c r="F35" s="122"/>
      <c r="G35" s="123"/>
      <c r="H35" s="123"/>
      <c r="I35" s="123"/>
      <c r="J35" s="123"/>
      <c r="K35" s="123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I9:I11"/>
    <mergeCell ref="F33:I33"/>
    <mergeCell ref="A34:C34"/>
    <mergeCell ref="D34:F34"/>
    <mergeCell ref="G34:I34"/>
    <mergeCell ref="A6:I6"/>
    <mergeCell ref="A7:I7"/>
    <mergeCell ref="A9:A11"/>
    <mergeCell ref="B9:B11"/>
    <mergeCell ref="C9:C11"/>
    <mergeCell ref="G9:G10"/>
    <mergeCell ref="H9:H11"/>
  </mergeCells>
  <printOptions/>
  <pageMargins bottom="0.75" footer="0.0" header="0.0" left="0.7" right="0.7" top="0.75"/>
  <pageSetup orientation="landscape"/>
  <drawing r:id="rId1"/>
</worksheet>
</file>